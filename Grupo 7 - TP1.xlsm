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oren\Desktop\"/>
    </mc:Choice>
  </mc:AlternateContent>
  <xr:revisionPtr revIDLastSave="0" documentId="13_ncr:1_{5B8785D1-93C9-40F1-BA66-7E9C85E21AE6}" xr6:coauthVersionLast="45" xr6:coauthVersionMax="45" xr10:uidLastSave="{00000000-0000-0000-0000-000000000000}"/>
  <bookViews>
    <workbookView xWindow="-120" yWindow="-120" windowWidth="20730" windowHeight="11160" activeTab="2" xr2:uid="{00000000-000D-0000-FFFF-FFFF00000000}"/>
  </bookViews>
  <sheets>
    <sheet name="Carátula" sheetId="4" r:id="rId1"/>
    <sheet name="Excel" sheetId="2" r:id="rId2"/>
    <sheet name="VBA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41" i="3" l="1"/>
  <c r="O37" i="3"/>
  <c r="O24" i="3" l="1"/>
  <c r="O34" i="3"/>
  <c r="O25" i="3"/>
  <c r="O17" i="3"/>
  <c r="O13" i="3"/>
  <c r="D4" i="3"/>
  <c r="C4" i="3"/>
  <c r="O36" i="3" l="1"/>
  <c r="T4" i="3"/>
  <c r="C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5" i="2"/>
  <c r="C6" i="2"/>
  <c r="C7" i="2"/>
  <c r="C8" i="2"/>
  <c r="C9" i="2"/>
  <c r="C10" i="2"/>
  <c r="C11" i="2"/>
  <c r="C12" i="2"/>
  <c r="C13" i="2"/>
  <c r="E9" i="3"/>
  <c r="C9" i="3"/>
  <c r="C10" i="3"/>
  <c r="C11" i="3"/>
  <c r="E12" i="3"/>
  <c r="D22" i="3"/>
  <c r="C7" i="3"/>
  <c r="C22" i="3"/>
  <c r="D17" i="3"/>
  <c r="E18" i="3"/>
  <c r="D21" i="3"/>
  <c r="O14" i="3"/>
  <c r="E11" i="3"/>
  <c r="D13" i="3"/>
  <c r="E21" i="3"/>
  <c r="C18" i="3"/>
  <c r="D11" i="3"/>
  <c r="D16" i="3"/>
  <c r="D15" i="3"/>
  <c r="D7" i="3"/>
  <c r="E6" i="3"/>
  <c r="C5" i="3"/>
  <c r="D9" i="3"/>
  <c r="D5" i="3"/>
  <c r="D19" i="3"/>
  <c r="C14" i="3"/>
  <c r="C17" i="3"/>
  <c r="C20" i="3"/>
  <c r="C13" i="3"/>
  <c r="C8" i="3"/>
  <c r="D12" i="3"/>
  <c r="E13" i="3"/>
  <c r="C15" i="3"/>
  <c r="C16" i="3"/>
  <c r="E4" i="3"/>
  <c r="C21" i="3"/>
  <c r="E14" i="3"/>
  <c r="E5" i="3"/>
  <c r="C12" i="3"/>
  <c r="E20" i="3"/>
  <c r="D10" i="3"/>
  <c r="C6" i="3"/>
  <c r="E10" i="3"/>
  <c r="E16" i="3"/>
  <c r="D20" i="3"/>
  <c r="D6" i="3"/>
  <c r="E17" i="3"/>
  <c r="D18" i="3"/>
  <c r="D14" i="3"/>
  <c r="E15" i="3"/>
  <c r="E7" i="3"/>
  <c r="C19" i="3"/>
  <c r="E22" i="3"/>
  <c r="E8" i="3"/>
  <c r="E19" i="3"/>
  <c r="D8" i="3"/>
  <c r="O21" i="3" l="1"/>
  <c r="O22" i="3"/>
  <c r="T17" i="3"/>
  <c r="T11" i="3"/>
  <c r="T8" i="3"/>
  <c r="U17" i="3"/>
  <c r="T15" i="3"/>
  <c r="U14" i="3"/>
  <c r="T10" i="3"/>
  <c r="U4" i="3"/>
  <c r="T22" i="3"/>
  <c r="T19" i="3"/>
  <c r="U22" i="3"/>
  <c r="U11" i="3"/>
  <c r="U8" i="3"/>
  <c r="U7" i="3"/>
  <c r="T12" i="3"/>
  <c r="U20" i="3"/>
  <c r="U13" i="3"/>
  <c r="T14" i="3"/>
  <c r="T6" i="3"/>
  <c r="U19" i="3"/>
  <c r="T21" i="3"/>
  <c r="U12" i="3"/>
  <c r="U6" i="3"/>
  <c r="T20" i="3"/>
  <c r="U15" i="3"/>
  <c r="T13" i="3"/>
  <c r="U5" i="3"/>
  <c r="U21" i="3"/>
  <c r="T5" i="3"/>
  <c r="U10" i="3"/>
  <c r="T16" i="3"/>
  <c r="T7" i="3"/>
  <c r="U16" i="3"/>
  <c r="T9" i="3"/>
  <c r="U18" i="3"/>
  <c r="T18" i="3"/>
  <c r="U9" i="3"/>
  <c r="O26" i="3"/>
  <c r="O18" i="3"/>
  <c r="P26" i="3" l="1"/>
  <c r="O28" i="3"/>
  <c r="O30" i="3"/>
  <c r="O29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Emilio</author>
  </authors>
  <commentList>
    <comment ref="O9" authorId="0" shapeId="0" xr:uid="{5A0D564B-A9AA-4DAA-A31E-915EC686C1C8}">
      <text>
        <r>
          <rPr>
            <b/>
            <sz val="9"/>
            <color indexed="81"/>
            <rFont val="Tahoma"/>
            <family val="2"/>
          </rPr>
          <t>Intervalo obtenido mediante las gráficas.</t>
        </r>
      </text>
    </comment>
    <comment ref="P26" authorId="0" shapeId="0" xr:uid="{BFD28BFE-3183-49E0-B2C7-D0A6D6603DD0}">
      <text>
        <r>
          <rPr>
            <b/>
            <sz val="9"/>
            <color indexed="81"/>
            <rFont val="Tahoma"/>
            <family val="2"/>
          </rPr>
          <t>Se aproxima al próximo entero.</t>
        </r>
      </text>
    </comment>
    <comment ref="O28" authorId="0" shapeId="0" xr:uid="{23E5C9A1-FF96-421D-8396-D697C3856803}">
      <text>
        <r>
          <rPr>
            <b/>
            <sz val="9"/>
            <color indexed="81"/>
            <rFont val="Tahoma"/>
            <family val="2"/>
          </rPr>
          <t>La cota del error de la aproximación es notoriamente mejor que la tolerancia exigida.</t>
        </r>
      </text>
    </comment>
    <comment ref="O29" authorId="0" shapeId="0" xr:uid="{7E4BE1F9-5C52-4801-B80C-8A33C4C3E086}">
      <text>
        <r>
          <rPr>
            <b/>
            <sz val="9"/>
            <color indexed="81"/>
            <rFont val="Tahoma"/>
            <family val="2"/>
          </rPr>
          <t>Error Absoluto</t>
        </r>
      </text>
    </comment>
    <comment ref="P29" authorId="0" shapeId="0" xr:uid="{FF11BF7C-228E-4DE9-AA07-BE5E3BCDB8B2}">
      <text>
        <r>
          <rPr>
            <b/>
            <sz val="9"/>
            <color indexed="81"/>
            <rFont val="Tahoma"/>
            <family val="2"/>
          </rPr>
          <t>P-P*&gt;0</t>
        </r>
      </text>
    </comment>
    <comment ref="O32" authorId="0" shapeId="0" xr:uid="{3D0D8C79-1D53-4A42-9ABF-FB5C5B9CEA39}">
      <text>
        <r>
          <rPr>
            <b/>
            <sz val="9"/>
            <color indexed="81"/>
            <rFont val="Tahoma"/>
            <family val="2"/>
          </rPr>
          <t>P0 arbitrariamente por gráfica.</t>
        </r>
      </text>
    </comment>
    <comment ref="O33" authorId="0" shapeId="0" xr:uid="{8D76BFF6-017F-4701-957E-3182C31BC03B}">
      <text>
        <r>
          <rPr>
            <b/>
            <sz val="9"/>
            <color indexed="81"/>
            <rFont val="Tahoma"/>
            <family val="2"/>
          </rPr>
          <t>P1 Arbitrariamente por gráfica.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5" authorId="0" shapeId="0" xr:uid="{74CC2988-3D40-4AD5-BC7B-4E1B87D7D84C}">
      <text>
        <r>
          <rPr>
            <b/>
            <sz val="9"/>
            <color indexed="81"/>
            <rFont val="Tahoma"/>
            <family val="2"/>
          </rPr>
          <t xml:space="preserve">Como el método de la secante no posee Cota del error, arbitrariamente decidimos n=10.
</t>
        </r>
      </text>
    </comment>
    <comment ref="P35" authorId="0" shapeId="0" xr:uid="{78112773-BC34-4BA6-98C2-3ED6C047CC90}">
      <text>
        <r>
          <rPr>
            <b/>
            <sz val="9"/>
            <color indexed="81"/>
            <rFont val="Tahoma"/>
            <family val="2"/>
          </rPr>
          <t>P-P*&gt;0</t>
        </r>
      </text>
    </comment>
    <comment ref="O36" authorId="0" shapeId="0" xr:uid="{F9875104-ED4A-453D-8D13-2A105CD02650}">
      <text>
        <r>
          <rPr>
            <b/>
            <sz val="9"/>
            <color indexed="81"/>
            <rFont val="Tahoma"/>
            <family val="2"/>
          </rPr>
          <t>Error Absoluto</t>
        </r>
      </text>
    </comment>
    <comment ref="N41" authorId="0" shapeId="0" xr:uid="{D00845FC-4E63-4151-A1B3-8A9BCFCD9D8F}">
      <text>
        <r>
          <rPr>
            <b/>
            <sz val="9"/>
            <color indexed="81"/>
            <rFont val="Tahoma"/>
            <family val="2"/>
          </rPr>
          <t>Consideramos este valor como la raíz lo más exacta posible para la obtención del error absoluto y sentido del error.</t>
        </r>
      </text>
    </comment>
  </commentList>
</comments>
</file>

<file path=xl/sharedStrings.xml><?xml version="1.0" encoding="utf-8"?>
<sst xmlns="http://schemas.openxmlformats.org/spreadsheetml/2006/main" count="54" uniqueCount="42">
  <si>
    <t>TOL</t>
  </si>
  <si>
    <t xml:space="preserve">Función </t>
  </si>
  <si>
    <t>f(x): ln (x-1) + cos (x-1)</t>
  </si>
  <si>
    <t>x</t>
  </si>
  <si>
    <t>f(x)</t>
  </si>
  <si>
    <t>f'(x)</t>
  </si>
  <si>
    <t>f''(x)</t>
  </si>
  <si>
    <t>UNIVERSIDAD DE BUENOS AIRES</t>
  </si>
  <si>
    <t>Análisis Numérico</t>
  </si>
  <si>
    <t>Newton Raphson y Secante</t>
  </si>
  <si>
    <t>Intervalo [a;b]</t>
  </si>
  <si>
    <t>Trabajo Práctico N°1 - Resolución de Ecuaciones en VBA</t>
  </si>
  <si>
    <r>
      <t>Cátedra</t>
    </r>
    <r>
      <rPr>
        <b/>
        <sz val="16"/>
        <color theme="1"/>
        <rFont val="Arial"/>
        <family val="2"/>
      </rPr>
      <t xml:space="preserve">: </t>
    </r>
    <r>
      <rPr>
        <sz val="16"/>
        <color theme="1"/>
        <rFont val="Arial"/>
        <family val="2"/>
      </rPr>
      <t>Garcia Fronti, Javier.</t>
    </r>
  </si>
  <si>
    <r>
      <t>Profesor</t>
    </r>
    <r>
      <rPr>
        <b/>
        <sz val="16"/>
        <color theme="1"/>
        <rFont val="Arial"/>
        <family val="2"/>
      </rPr>
      <t xml:space="preserve">: </t>
    </r>
    <r>
      <rPr>
        <sz val="16"/>
        <color theme="1"/>
        <rFont val="Arial"/>
        <family val="2"/>
      </rPr>
      <t>Speranza, Mauro.</t>
    </r>
  </si>
  <si>
    <t>Grupo #7</t>
  </si>
  <si>
    <r>
      <t>Alumnos</t>
    </r>
    <r>
      <rPr>
        <b/>
        <sz val="16"/>
        <color theme="1"/>
        <rFont val="Arial"/>
        <family val="2"/>
      </rPr>
      <t>:</t>
    </r>
    <r>
      <rPr>
        <sz val="16"/>
        <color theme="1"/>
        <rFont val="Arial"/>
        <family val="2"/>
      </rPr>
      <t xml:space="preserve"> Perrotta, Lorenzo; Tesler, Dan Uriel; Cabo, Micaela Belén y Di Palma Satriano, Marcos Emilio.</t>
    </r>
  </si>
  <si>
    <t>Limite inferior a</t>
  </si>
  <si>
    <t>Limite inferior b</t>
  </si>
  <si>
    <t>P0</t>
  </si>
  <si>
    <t>k (max {f''(a);f''(b)})</t>
  </si>
  <si>
    <t>δ (min {f'(a);f'(b)})</t>
  </si>
  <si>
    <t>Aproximación Por Newton-Raphson</t>
  </si>
  <si>
    <t>|f'(x)|</t>
  </si>
  <si>
    <t>|f''(x)|</t>
  </si>
  <si>
    <t>Existencia</t>
  </si>
  <si>
    <t>Bolzano = f(a).f(b)</t>
  </si>
  <si>
    <t>Monotonía</t>
  </si>
  <si>
    <t>Unicidad</t>
  </si>
  <si>
    <t>P1</t>
  </si>
  <si>
    <t>Aproximación Por Secante</t>
  </si>
  <si>
    <t>Cantidad de iteraciones necesarias para error máximo de 10^-5 (N)</t>
  </si>
  <si>
    <t>N</t>
  </si>
  <si>
    <t>Cota del error</t>
  </si>
  <si>
    <t>Buscamos la raíz con Solver</t>
  </si>
  <si>
    <t>Error por Defecto (subestimación)</t>
  </si>
  <si>
    <t>Sentido del error</t>
  </si>
  <si>
    <t>Error Absoluto |P-P*|</t>
  </si>
  <si>
    <r>
      <t>Números de Registro</t>
    </r>
    <r>
      <rPr>
        <b/>
        <sz val="16"/>
        <color theme="1"/>
        <rFont val="Arial"/>
        <family val="2"/>
      </rPr>
      <t xml:space="preserve">: </t>
    </r>
    <r>
      <rPr>
        <sz val="16"/>
        <color theme="1"/>
        <rFont val="Arial"/>
        <family val="2"/>
      </rPr>
      <t>882.969, 888826,</t>
    </r>
    <r>
      <rPr>
        <b/>
        <sz val="16"/>
        <color theme="1"/>
        <rFont val="Arial"/>
        <family val="2"/>
      </rPr>
      <t xml:space="preserve"> </t>
    </r>
    <r>
      <rPr>
        <sz val="16"/>
        <color theme="1"/>
        <rFont val="Arial"/>
        <family val="2"/>
      </rPr>
      <t>889363, 890832.</t>
    </r>
  </si>
  <si>
    <t>En función del gráfico de f(x), definimos el intervalo [1,30;1,65], donde se encuentra una raíz y la derivada primera tanto como la segunda no cambian de signo (siendo las condiciones iniciales de aplicación del método además del cumplimiento del Teorema de Bolzano en el intervalo)</t>
  </si>
  <si>
    <t>[1,30;1,65]</t>
  </si>
  <si>
    <r>
      <t>Fecha de Entrega</t>
    </r>
    <r>
      <rPr>
        <b/>
        <sz val="16"/>
        <color theme="1"/>
        <rFont val="Arial"/>
        <family val="2"/>
      </rPr>
      <t xml:space="preserve">: </t>
    </r>
    <r>
      <rPr>
        <sz val="16"/>
        <color theme="1"/>
        <rFont val="Arial"/>
        <family val="2"/>
      </rPr>
      <t>11/ 10/ 2019</t>
    </r>
  </si>
  <si>
    <t>¿Puedo Aplicar Newton Raphson o Secante?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</si>
</sst>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E+00"/>
    <numFmt numFmtId="165" formatCode="0.000000000000000E+00"/>
    <numFmt numFmtId="166" formatCode="0.0000000000"/>
    <numFmt numFmtId="167" formatCode="0.000000000000000"/>
    <numFmt numFmtId="168" formatCode="0.0000000000000000000000"/>
  </numFmts>
  <fonts count="14" x14ac:knownFonts="1">
    <font>
      <sz val="11"/>
      <color theme="1"/>
      <name val="Calibri"/>
      <family val="2"/>
      <scheme val="minor"/>
    </font>
    <font>
      <b/>
      <u/>
      <sz val="21"/>
      <color theme="1"/>
      <name val="Arial"/>
      <family val="2"/>
    </font>
    <font>
      <b/>
      <u/>
      <sz val="18"/>
      <color theme="1"/>
      <name val="Arial"/>
      <family val="2"/>
    </font>
    <font>
      <b/>
      <sz val="16"/>
      <color theme="1"/>
      <name val="Arial"/>
      <family val="2"/>
    </font>
    <font>
      <b/>
      <u/>
      <sz val="16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1" fillId="5" borderId="0" applyNumberFormat="0" applyBorder="0" applyAlignment="0" applyProtection="0"/>
    <xf numFmtId="0" fontId="10" fillId="6" borderId="2" applyNumberFormat="0" applyFont="0" applyAlignment="0" applyProtection="0"/>
  </cellStyleXfs>
  <cellXfs count="50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164" fontId="0" fillId="0" borderId="0" xfId="0" applyNumberFormat="1"/>
    <xf numFmtId="165" fontId="0" fillId="0" borderId="0" xfId="0" applyNumberFormat="1"/>
    <xf numFmtId="0" fontId="8" fillId="0" borderId="0" xfId="0" applyFont="1"/>
    <xf numFmtId="0" fontId="0" fillId="0" borderId="1" xfId="0" applyBorder="1"/>
    <xf numFmtId="0" fontId="0" fillId="3" borderId="1" xfId="0" applyFill="1" applyBorder="1"/>
    <xf numFmtId="0" fontId="0" fillId="0" borderId="1" xfId="0" applyBorder="1" applyAlignment="1">
      <alignment horizontal="right"/>
    </xf>
    <xf numFmtId="0" fontId="0" fillId="0" borderId="3" xfId="0" applyBorder="1" applyAlignment="1">
      <alignment vertical="top" wrapText="1"/>
    </xf>
    <xf numFmtId="0" fontId="0" fillId="0" borderId="3" xfId="0" applyBorder="1" applyAlignment="1">
      <alignment vertical="center"/>
    </xf>
    <xf numFmtId="166" fontId="0" fillId="0" borderId="0" xfId="0" applyNumberFormat="1"/>
    <xf numFmtId="0" fontId="0" fillId="0" borderId="1" xfId="0" applyFill="1" applyBorder="1"/>
    <xf numFmtId="166" fontId="0" fillId="0" borderId="1" xfId="0" applyNumberFormat="1" applyBorder="1"/>
    <xf numFmtId="0" fontId="0" fillId="0" borderId="3" xfId="0" applyBorder="1"/>
    <xf numFmtId="0" fontId="0" fillId="0" borderId="0" xfId="0" applyBorder="1"/>
    <xf numFmtId="0" fontId="7" fillId="3" borderId="1" xfId="0" applyFont="1" applyFill="1" applyBorder="1"/>
    <xf numFmtId="0" fontId="0" fillId="4" borderId="1" xfId="0" applyFill="1" applyBorder="1"/>
    <xf numFmtId="0" fontId="7" fillId="3" borderId="6" xfId="0" applyFont="1" applyFill="1" applyBorder="1"/>
    <xf numFmtId="0" fontId="0" fillId="4" borderId="4" xfId="0" applyFill="1" applyBorder="1"/>
    <xf numFmtId="0" fontId="0" fillId="0" borderId="7" xfId="0" applyBorder="1"/>
    <xf numFmtId="0" fontId="7" fillId="2" borderId="1" xfId="0" applyFont="1" applyFill="1" applyBorder="1"/>
    <xf numFmtId="0" fontId="0" fillId="2" borderId="1" xfId="0" applyFill="1" applyBorder="1"/>
    <xf numFmtId="0" fontId="0" fillId="0" borderId="9" xfId="0" applyBorder="1"/>
    <xf numFmtId="0" fontId="0" fillId="0" borderId="0" xfId="0"/>
    <xf numFmtId="0" fontId="7" fillId="0" borderId="0" xfId="0" applyFont="1"/>
    <xf numFmtId="0" fontId="0" fillId="0" borderId="1" xfId="0" applyBorder="1"/>
    <xf numFmtId="0" fontId="7" fillId="0" borderId="6" xfId="0" applyFont="1" applyBorder="1"/>
    <xf numFmtId="0" fontId="0" fillId="0" borderId="5" xfId="0" applyBorder="1"/>
    <xf numFmtId="167" fontId="0" fillId="0" borderId="5" xfId="0" applyNumberFormat="1" applyBorder="1"/>
    <xf numFmtId="1" fontId="0" fillId="0" borderId="6" xfId="0" applyNumberFormat="1" applyBorder="1"/>
    <xf numFmtId="168" fontId="0" fillId="0" borderId="1" xfId="0" applyNumberFormat="1" applyBorder="1"/>
    <xf numFmtId="168" fontId="0" fillId="0" borderId="1" xfId="0" applyNumberFormat="1" applyBorder="1" applyAlignment="1">
      <alignment horizontal="right" vertical="center"/>
    </xf>
    <xf numFmtId="0" fontId="0" fillId="3" borderId="3" xfId="0" applyFill="1" applyBorder="1" applyAlignment="1">
      <alignment horizontal="center"/>
    </xf>
    <xf numFmtId="0" fontId="0" fillId="0" borderId="1" xfId="0" applyBorder="1" applyAlignment="1">
      <alignment vertical="center"/>
    </xf>
    <xf numFmtId="0" fontId="0" fillId="0" borderId="10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9" fillId="6" borderId="2" xfId="2" applyFont="1" applyAlignment="1">
      <alignment horizontal="left" vertical="center" wrapText="1"/>
    </xf>
    <xf numFmtId="0" fontId="0" fillId="2" borderId="1" xfId="0" applyFill="1" applyBorder="1" applyAlignment="1">
      <alignment horizontal="center" wrapText="1"/>
    </xf>
    <xf numFmtId="0" fontId="0" fillId="2" borderId="8" xfId="0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11" fillId="5" borderId="1" xfId="1" applyBorder="1" applyAlignment="1">
      <alignment horizontal="center" vertical="center"/>
    </xf>
  </cellXfs>
  <cellStyles count="3">
    <cellStyle name="Bueno" xfId="1" builtinId="26"/>
    <cellStyle name="Normal" xfId="0" builtinId="0"/>
    <cellStyle name="Notas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Excel!$B$4:$B$93</c:f>
              <c:numCache>
                <c:formatCode>General</c:formatCode>
                <c:ptCount val="90"/>
                <c:pt idx="0">
                  <c:v>1.1000000000000001</c:v>
                </c:pt>
                <c:pt idx="1">
                  <c:v>1.2</c:v>
                </c:pt>
                <c:pt idx="2">
                  <c:v>1.3</c:v>
                </c:pt>
                <c:pt idx="3">
                  <c:v>1.4</c:v>
                </c:pt>
                <c:pt idx="4">
                  <c:v>1.5</c:v>
                </c:pt>
                <c:pt idx="5">
                  <c:v>1.6</c:v>
                </c:pt>
                <c:pt idx="6">
                  <c:v>1.7</c:v>
                </c:pt>
                <c:pt idx="7">
                  <c:v>1.8</c:v>
                </c:pt>
                <c:pt idx="8">
                  <c:v>1.9</c:v>
                </c:pt>
                <c:pt idx="9">
                  <c:v>2</c:v>
                </c:pt>
                <c:pt idx="10">
                  <c:v>2.1</c:v>
                </c:pt>
                <c:pt idx="11">
                  <c:v>2.2000000000000002</c:v>
                </c:pt>
                <c:pt idx="12">
                  <c:v>2.2999999999999998</c:v>
                </c:pt>
                <c:pt idx="13">
                  <c:v>2.4</c:v>
                </c:pt>
                <c:pt idx="14">
                  <c:v>2.5</c:v>
                </c:pt>
                <c:pt idx="15">
                  <c:v>2.6</c:v>
                </c:pt>
                <c:pt idx="16">
                  <c:v>2.7</c:v>
                </c:pt>
                <c:pt idx="17">
                  <c:v>2.8</c:v>
                </c:pt>
                <c:pt idx="18">
                  <c:v>2.9</c:v>
                </c:pt>
                <c:pt idx="19">
                  <c:v>3</c:v>
                </c:pt>
                <c:pt idx="20">
                  <c:v>3.1</c:v>
                </c:pt>
                <c:pt idx="21">
                  <c:v>3.2</c:v>
                </c:pt>
                <c:pt idx="22">
                  <c:v>3.3</c:v>
                </c:pt>
                <c:pt idx="23">
                  <c:v>3.4</c:v>
                </c:pt>
                <c:pt idx="24">
                  <c:v>3.5</c:v>
                </c:pt>
                <c:pt idx="25">
                  <c:v>3.6</c:v>
                </c:pt>
                <c:pt idx="26">
                  <c:v>3.7</c:v>
                </c:pt>
                <c:pt idx="27">
                  <c:v>3.8</c:v>
                </c:pt>
                <c:pt idx="28">
                  <c:v>3.9</c:v>
                </c:pt>
                <c:pt idx="29">
                  <c:v>4</c:v>
                </c:pt>
                <c:pt idx="30">
                  <c:v>4.0999999999999996</c:v>
                </c:pt>
                <c:pt idx="31">
                  <c:v>4.2</c:v>
                </c:pt>
                <c:pt idx="32">
                  <c:v>4.3</c:v>
                </c:pt>
                <c:pt idx="33">
                  <c:v>4.4000000000000004</c:v>
                </c:pt>
                <c:pt idx="34">
                  <c:v>4.5</c:v>
                </c:pt>
                <c:pt idx="35">
                  <c:v>4.5999999999999996</c:v>
                </c:pt>
                <c:pt idx="36">
                  <c:v>4.7</c:v>
                </c:pt>
                <c:pt idx="37">
                  <c:v>4.7999999999999901</c:v>
                </c:pt>
                <c:pt idx="38">
                  <c:v>4.8999999999999897</c:v>
                </c:pt>
                <c:pt idx="39">
                  <c:v>5</c:v>
                </c:pt>
                <c:pt idx="40">
                  <c:v>5.0999999999999899</c:v>
                </c:pt>
                <c:pt idx="41">
                  <c:v>5.1999999999999904</c:v>
                </c:pt>
                <c:pt idx="42">
                  <c:v>5.2999999999999901</c:v>
                </c:pt>
                <c:pt idx="43">
                  <c:v>5.3999999999999897</c:v>
                </c:pt>
                <c:pt idx="44">
                  <c:v>5.4999999999999902</c:v>
                </c:pt>
                <c:pt idx="45">
                  <c:v>5.5999999999999899</c:v>
                </c:pt>
                <c:pt idx="46">
                  <c:v>5.6999999999999904</c:v>
                </c:pt>
                <c:pt idx="47">
                  <c:v>5.7999999999999901</c:v>
                </c:pt>
                <c:pt idx="48">
                  <c:v>5.8999999999999897</c:v>
                </c:pt>
                <c:pt idx="49">
                  <c:v>5.9999999999999902</c:v>
                </c:pt>
                <c:pt idx="50">
                  <c:v>6.0999999999999899</c:v>
                </c:pt>
                <c:pt idx="51">
                  <c:v>6.1999999999999904</c:v>
                </c:pt>
                <c:pt idx="52">
                  <c:v>6.2999999999999901</c:v>
                </c:pt>
                <c:pt idx="53">
                  <c:v>6.3999999999999897</c:v>
                </c:pt>
                <c:pt idx="54">
                  <c:v>6.4999999999999902</c:v>
                </c:pt>
                <c:pt idx="55">
                  <c:v>6.5999999999999899</c:v>
                </c:pt>
                <c:pt idx="56">
                  <c:v>6.6999999999999904</c:v>
                </c:pt>
                <c:pt idx="57">
                  <c:v>6.7999999999999901</c:v>
                </c:pt>
                <c:pt idx="58">
                  <c:v>6.8999999999999897</c:v>
                </c:pt>
                <c:pt idx="59">
                  <c:v>6.9999999999999902</c:v>
                </c:pt>
                <c:pt idx="60">
                  <c:v>7.0999999999999899</c:v>
                </c:pt>
                <c:pt idx="61">
                  <c:v>7.1999999999999904</c:v>
                </c:pt>
                <c:pt idx="62">
                  <c:v>7.2999999999999901</c:v>
                </c:pt>
                <c:pt idx="63">
                  <c:v>7.3999999999999897</c:v>
                </c:pt>
                <c:pt idx="64">
                  <c:v>7.4999999999999902</c:v>
                </c:pt>
                <c:pt idx="65">
                  <c:v>7.5999999999999899</c:v>
                </c:pt>
                <c:pt idx="66">
                  <c:v>7.6999999999999904</c:v>
                </c:pt>
                <c:pt idx="67">
                  <c:v>7.7999999999999901</c:v>
                </c:pt>
                <c:pt idx="68">
                  <c:v>7.8999999999999897</c:v>
                </c:pt>
                <c:pt idx="69">
                  <c:v>7.9999999999999902</c:v>
                </c:pt>
                <c:pt idx="70">
                  <c:v>8.0999999999999908</c:v>
                </c:pt>
                <c:pt idx="71">
                  <c:v>8.1999999999999904</c:v>
                </c:pt>
                <c:pt idx="72">
                  <c:v>8.2999999999999901</c:v>
                </c:pt>
                <c:pt idx="73">
                  <c:v>8.3999999999999897</c:v>
                </c:pt>
                <c:pt idx="74">
                  <c:v>8.4999999999999893</c:v>
                </c:pt>
                <c:pt idx="75">
                  <c:v>8.5999999999999908</c:v>
                </c:pt>
                <c:pt idx="76">
                  <c:v>8.6999999999999904</c:v>
                </c:pt>
                <c:pt idx="77">
                  <c:v>8.7999999999999901</c:v>
                </c:pt>
                <c:pt idx="78">
                  <c:v>8.8999999999999897</c:v>
                </c:pt>
                <c:pt idx="79">
                  <c:v>8.9999999999999893</c:v>
                </c:pt>
                <c:pt idx="80">
                  <c:v>9.0999999999999908</c:v>
                </c:pt>
                <c:pt idx="81">
                  <c:v>9.1999999999999904</c:v>
                </c:pt>
                <c:pt idx="82">
                  <c:v>9.2999999999999901</c:v>
                </c:pt>
                <c:pt idx="83">
                  <c:v>9.3999999999999897</c:v>
                </c:pt>
                <c:pt idx="84">
                  <c:v>9.4999999999999893</c:v>
                </c:pt>
                <c:pt idx="85">
                  <c:v>9.5999999999999908</c:v>
                </c:pt>
                <c:pt idx="86">
                  <c:v>9.6999999999999904</c:v>
                </c:pt>
                <c:pt idx="87">
                  <c:v>9.7999999999999901</c:v>
                </c:pt>
                <c:pt idx="88">
                  <c:v>9.8999999999999897</c:v>
                </c:pt>
                <c:pt idx="89">
                  <c:v>9.9999999999999893</c:v>
                </c:pt>
              </c:numCache>
            </c:numRef>
          </c:xVal>
          <c:yVal>
            <c:numRef>
              <c:f>Excel!$C$4:$C$93</c:f>
              <c:numCache>
                <c:formatCode>General</c:formatCode>
                <c:ptCount val="90"/>
                <c:pt idx="0">
                  <c:v>-1.3075809277160193</c:v>
                </c:pt>
                <c:pt idx="1">
                  <c:v>-0.62937133459285888</c:v>
                </c:pt>
                <c:pt idx="2">
                  <c:v>-0.24863631520032992</c:v>
                </c:pt>
                <c:pt idx="3">
                  <c:v>4.7702621287297742E-3</c:v>
                </c:pt>
                <c:pt idx="4">
                  <c:v>0.18443538133042747</c:v>
                </c:pt>
                <c:pt idx="5">
                  <c:v>0.31450999114368772</c:v>
                </c:pt>
                <c:pt idx="6">
                  <c:v>0.40816724334575605</c:v>
                </c:pt>
                <c:pt idx="7">
                  <c:v>0.47356315803295568</c:v>
                </c:pt>
                <c:pt idx="8">
                  <c:v>0.51624945261283806</c:v>
                </c:pt>
                <c:pt idx="9">
                  <c:v>0.54030230586813977</c:v>
                </c:pt>
                <c:pt idx="10">
                  <c:v>0.54890630122990225</c:v>
                </c:pt>
                <c:pt idx="11">
                  <c:v>0.54467931127062819</c:v>
                </c:pt>
                <c:pt idx="12">
                  <c:v>0.52986309309207846</c:v>
                </c:pt>
                <c:pt idx="13">
                  <c:v>0.5064393795214539</c:v>
                </c:pt>
                <c:pt idx="14">
                  <c:v>0.47620230977586731</c:v>
                </c:pt>
                <c:pt idx="15">
                  <c:v>0.44080410694444683</c:v>
                </c:pt>
                <c:pt idx="16">
                  <c:v>0.40178375676664563</c:v>
                </c:pt>
                <c:pt idx="17">
                  <c:v>0.36058457020903206</c:v>
                </c:pt>
                <c:pt idx="18">
                  <c:v>0.31856431930889134</c:v>
                </c:pt>
                <c:pt idx="19">
                  <c:v>0.27700034401280288</c:v>
                </c:pt>
                <c:pt idx="20">
                  <c:v>0.23709124012951976</c:v>
                </c:pt>
                <c:pt idx="21">
                  <c:v>0.19995624310892446</c:v>
                </c:pt>
                <c:pt idx="22">
                  <c:v>0.16663310165527978</c:v>
                </c:pt>
                <c:pt idx="23">
                  <c:v>0.13807502181265441</c:v>
                </c:pt>
                <c:pt idx="24">
                  <c:v>0.11514711632722141</c:v>
                </c:pt>
                <c:pt idx="25">
                  <c:v>9.8622691658489026E-2</c:v>
                </c:pt>
                <c:pt idx="26">
                  <c:v>8.9179630993222236E-2</c:v>
                </c:pt>
                <c:pt idx="27">
                  <c:v>8.739707651250006E-2</c:v>
                </c:pt>
                <c:pt idx="28">
                  <c:v>9.3752571842837695E-2</c:v>
                </c:pt>
                <c:pt idx="29">
                  <c:v>0.10861979206766437</c:v>
                </c:pt>
                <c:pt idx="30">
                  <c:v>0.13226696121782089</c:v>
                </c:pt>
                <c:pt idx="31">
                  <c:v>0.16485603401092774</c:v>
                </c:pt>
                <c:pt idx="32">
                  <c:v>0.20644269856356967</c:v>
                </c:pt>
                <c:pt idx="33">
                  <c:v>0.25697723904265501</c:v>
                </c:pt>
                <c:pt idx="34">
                  <c:v>0.31630628120457172</c:v>
                </c:pt>
                <c:pt idx="35">
                  <c:v>0.38417542912791702</c:v>
                </c:pt>
                <c:pt idx="36">
                  <c:v>0.46023278793977085</c:v>
                </c:pt>
                <c:pt idx="37">
                  <c:v>0.5440333548179147</c:v>
                </c:pt>
                <c:pt idx="38">
                  <c:v>0.63504424893545097</c:v>
                </c:pt>
                <c:pt idx="39">
                  <c:v>0.73265074025627863</c:v>
                </c:pt>
                <c:pt idx="40">
                  <c:v>0.83616302717698243</c:v>
                </c:pt>
                <c:pt idx="41">
                  <c:v>0.94482370394861237</c:v>
                </c:pt>
                <c:pt idx="42">
                  <c:v>1.0578158506195301</c:v>
                </c:pt>
                <c:pt idx="43">
                  <c:v>1.1742716709457837</c:v>
                </c:pt>
                <c:pt idx="44">
                  <c:v>1.2932815973454828</c:v>
                </c:pt>
                <c:pt idx="45">
                  <c:v>1.4139037765599827</c:v>
                </c:pt>
                <c:pt idx="46">
                  <c:v>1.5351738452531105</c:v>
                </c:pt>
                <c:pt idx="47">
                  <c:v>1.6561149013532799</c:v>
                </c:pt>
                <c:pt idx="48">
                  <c:v>1.775747574539144</c:v>
                </c:pt>
                <c:pt idx="49">
                  <c:v>1.8931000978973154</c:v>
                </c:pt>
                <c:pt idx="50">
                  <c:v>2.0072182824432492</c:v>
                </c:pt>
                <c:pt idx="51">
                  <c:v>2.1171752968877482</c:v>
                </c:pt>
                <c:pt idx="52">
                  <c:v>2.2220811567372269</c:v>
                </c:pt>
                <c:pt idx="53">
                  <c:v>2.3210918295128531</c:v>
                </c:pt>
                <c:pt idx="54">
                  <c:v>2.4134178665296764</c:v>
                </c:pt>
                <c:pt idx="55">
                  <c:v>2.498332476251345</c:v>
                </c:pt>
                <c:pt idx="56">
                  <c:v>2.5751789596796573</c:v>
                </c:pt>
                <c:pt idx="57">
                  <c:v>2.6433774344936865</c:v>
                </c:pt>
                <c:pt idx="58">
                  <c:v>2.7024307816557038</c:v>
                </c:pt>
                <c:pt idx="59">
                  <c:v>2.7519297558784168</c:v>
                </c:pt>
                <c:pt idx="60">
                  <c:v>2.7915572096218466</c:v>
                </c:pt>
                <c:pt idx="61">
                  <c:v>2.8210913890742608</c:v>
                </c:pt>
                <c:pt idx="62">
                  <c:v>2.8404082697809008</c:v>
                </c:pt>
                <c:pt idx="63">
                  <c:v>2.8494829091238181</c:v>
                </c:pt>
                <c:pt idx="64">
                  <c:v>2.8483898026296157</c:v>
                </c:pt>
                <c:pt idx="65">
                  <c:v>2.837302240990911</c:v>
                </c:pt>
                <c:pt idx="66">
                  <c:v>2.8164906746322425</c:v>
                </c:pt>
                <c:pt idx="67">
                  <c:v>2.7863201025318896</c:v>
                </c:pt>
                <c:pt idx="68">
                  <c:v>2.7472465117285751</c:v>
                </c:pt>
                <c:pt idx="69">
                  <c:v>2.6998124033986231</c:v>
                </c:pt>
                <c:pt idx="70">
                  <c:v>2.6446414504900817</c:v>
                </c:pt>
                <c:pt idx="71">
                  <c:v>2.5824323405542708</c:v>
                </c:pt>
                <c:pt idx="72">
                  <c:v>2.513951865535458</c:v>
                </c:pt>
                <c:pt idx="73">
                  <c:v>2.4400273277845224</c:v>
                </c:pt>
                <c:pt idx="74">
                  <c:v>2.361538338377299</c:v>
                </c:pt>
                <c:pt idx="75">
                  <c:v>2.2794080898745488</c:v>
                </c:pt>
                <c:pt idx="76">
                  <c:v>2.1945941908975111</c:v>
                </c:pt>
                <c:pt idx="77">
                  <c:v>2.1080791542582045</c:v>
                </c:pt>
                <c:pt idx="78">
                  <c:v>2.0208606338334483</c:v>
                </c:pt>
                <c:pt idx="79">
                  <c:v>1.9339415078712314</c:v>
                </c:pt>
                <c:pt idx="80">
                  <c:v>1.8483199079426094</c:v>
                </c:pt>
                <c:pt idx="81">
                  <c:v>1.7649792932863799</c:v>
                </c:pt>
                <c:pt idx="82">
                  <c:v>1.6848786698319398</c:v>
                </c:pt>
                <c:pt idx="83">
                  <c:v>1.6089430517325902</c:v>
                </c:pt>
                <c:pt idx="84">
                  <c:v>1.5380542608114545</c:v>
                </c:pt>
                <c:pt idx="85">
                  <c:v>1.4730421559394551</c:v>
                </c:pt>
                <c:pt idx="86">
                  <c:v>1.4146763800631441</c:v>
                </c:pt>
                <c:pt idx="87">
                  <c:v>1.3636587074225099</c:v>
                </c:pt>
                <c:pt idx="88">
                  <c:v>1.320616067496986</c:v>
                </c:pt>
                <c:pt idx="89">
                  <c:v>1.2860943154515456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9F-44FD-ADE4-7A0286885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6887247"/>
        <c:axId val="1937051823"/>
      </c:scatterChart>
      <c:valAx>
        <c:axId val="193688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937051823"/>
        <c:crosses val="autoZero"/>
        <c:crossBetween val="midCat"/>
      </c:valAx>
      <c:valAx>
        <c:axId val="1937051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93688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VBA!$B$4:$B$22</c:f>
              <c:numCache>
                <c:formatCode>General</c:formatCode>
                <c:ptCount val="19"/>
                <c:pt idx="0">
                  <c:v>1.1000000000000001</c:v>
                </c:pt>
                <c:pt idx="1">
                  <c:v>1.1499999999999999</c:v>
                </c:pt>
                <c:pt idx="2">
                  <c:v>1.2</c:v>
                </c:pt>
                <c:pt idx="3">
                  <c:v>1.25</c:v>
                </c:pt>
                <c:pt idx="4">
                  <c:v>1.3</c:v>
                </c:pt>
                <c:pt idx="5">
                  <c:v>1.35</c:v>
                </c:pt>
                <c:pt idx="6">
                  <c:v>1.4</c:v>
                </c:pt>
                <c:pt idx="7">
                  <c:v>1.45</c:v>
                </c:pt>
                <c:pt idx="8">
                  <c:v>1.5</c:v>
                </c:pt>
                <c:pt idx="9">
                  <c:v>1.55</c:v>
                </c:pt>
                <c:pt idx="10">
                  <c:v>1.6</c:v>
                </c:pt>
                <c:pt idx="11">
                  <c:v>1.65</c:v>
                </c:pt>
                <c:pt idx="12">
                  <c:v>1.7</c:v>
                </c:pt>
                <c:pt idx="13">
                  <c:v>1.75</c:v>
                </c:pt>
                <c:pt idx="14">
                  <c:v>1.8</c:v>
                </c:pt>
                <c:pt idx="15">
                  <c:v>1.85</c:v>
                </c:pt>
                <c:pt idx="16">
                  <c:v>1.9</c:v>
                </c:pt>
                <c:pt idx="17">
                  <c:v>1.95</c:v>
                </c:pt>
                <c:pt idx="18">
                  <c:v>2</c:v>
                </c:pt>
              </c:numCache>
            </c:numRef>
          </c:xVal>
          <c:yVal>
            <c:numRef>
              <c:f>VBA!$C$4:$C$22</c:f>
              <c:numCache>
                <c:formatCode>General</c:formatCode>
                <c:ptCount val="19"/>
                <c:pt idx="0">
                  <c:v>-1.3075809277160193</c:v>
                </c:pt>
                <c:pt idx="1">
                  <c:v>-0.90834890694983961</c:v>
                </c:pt>
                <c:pt idx="2">
                  <c:v>-0.62937133459285888</c:v>
                </c:pt>
                <c:pt idx="3">
                  <c:v>-0.41738193940924584</c:v>
                </c:pt>
                <c:pt idx="4">
                  <c:v>-0.24863631520032992</c:v>
                </c:pt>
                <c:pt idx="5">
                  <c:v>-0.11044941165129851</c:v>
                </c:pt>
                <c:pt idx="6">
                  <c:v>4.7702621287297742E-3</c:v>
                </c:pt>
                <c:pt idx="7">
                  <c:v>0.10193940613490515</c:v>
                </c:pt>
                <c:pt idx="8">
                  <c:v>0.18443538133042747</c:v>
                </c:pt>
                <c:pt idx="9">
                  <c:v>0.25468752130388528</c:v>
                </c:pt>
                <c:pt idx="10">
                  <c:v>0.31450999114368772</c:v>
                </c:pt>
                <c:pt idx="11">
                  <c:v>0.36530088245660147</c:v>
                </c:pt>
                <c:pt idx="12">
                  <c:v>0.40816724334575605</c:v>
                </c:pt>
                <c:pt idx="13">
                  <c:v>0.44400679642204</c:v>
                </c:pt>
                <c:pt idx="14">
                  <c:v>0.47356315803295568</c:v>
                </c:pt>
                <c:pt idx="15">
                  <c:v>0.49746421638720728</c:v>
                </c:pt>
                <c:pt idx="16">
                  <c:v>0.51624945261283806</c:v>
                </c:pt>
                <c:pt idx="17">
                  <c:v>0.53038979507633288</c:v>
                </c:pt>
                <c:pt idx="18">
                  <c:v>0.54030230586813965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66-4E08-B7EC-7E1F8AC35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643871"/>
        <c:axId val="1779999343"/>
      </c:scatterChart>
      <c:valAx>
        <c:axId val="194264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79999343"/>
        <c:crosses val="autoZero"/>
        <c:crossBetween val="midCat"/>
      </c:valAx>
      <c:valAx>
        <c:axId val="1779999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94264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VBA!$B$4:$B$22</c:f>
              <c:numCache>
                <c:formatCode>General</c:formatCode>
                <c:ptCount val="19"/>
                <c:pt idx="0">
                  <c:v>1.1000000000000001</c:v>
                </c:pt>
                <c:pt idx="1">
                  <c:v>1.1499999999999999</c:v>
                </c:pt>
                <c:pt idx="2">
                  <c:v>1.2</c:v>
                </c:pt>
                <c:pt idx="3">
                  <c:v>1.25</c:v>
                </c:pt>
                <c:pt idx="4">
                  <c:v>1.3</c:v>
                </c:pt>
                <c:pt idx="5">
                  <c:v>1.35</c:v>
                </c:pt>
                <c:pt idx="6">
                  <c:v>1.4</c:v>
                </c:pt>
                <c:pt idx="7">
                  <c:v>1.45</c:v>
                </c:pt>
                <c:pt idx="8">
                  <c:v>1.5</c:v>
                </c:pt>
                <c:pt idx="9">
                  <c:v>1.55</c:v>
                </c:pt>
                <c:pt idx="10">
                  <c:v>1.6</c:v>
                </c:pt>
                <c:pt idx="11">
                  <c:v>1.65</c:v>
                </c:pt>
                <c:pt idx="12">
                  <c:v>1.7</c:v>
                </c:pt>
                <c:pt idx="13">
                  <c:v>1.75</c:v>
                </c:pt>
                <c:pt idx="14">
                  <c:v>1.8</c:v>
                </c:pt>
                <c:pt idx="15">
                  <c:v>1.85</c:v>
                </c:pt>
                <c:pt idx="16">
                  <c:v>1.9</c:v>
                </c:pt>
                <c:pt idx="17">
                  <c:v>1.95</c:v>
                </c:pt>
                <c:pt idx="18">
                  <c:v>2</c:v>
                </c:pt>
              </c:numCache>
            </c:numRef>
          </c:xVal>
          <c:yVal>
            <c:numRef>
              <c:f>VBA!$D$4:$D$22</c:f>
              <c:numCache>
                <c:formatCode>General</c:formatCode>
                <c:ptCount val="19"/>
                <c:pt idx="0">
                  <c:v>9.9001665833531636</c:v>
                </c:pt>
                <c:pt idx="1">
                  <c:v>6.5172285341930714</c:v>
                </c:pt>
                <c:pt idx="2">
                  <c:v>4.8013306692049396</c:v>
                </c:pt>
                <c:pt idx="3">
                  <c:v>3.7525960407454773</c:v>
                </c:pt>
                <c:pt idx="4">
                  <c:v>3.0378131266719937</c:v>
                </c:pt>
                <c:pt idx="5">
                  <c:v>2.5142450496874047</c:v>
                </c:pt>
                <c:pt idx="6">
                  <c:v>2.1105816576913501</c:v>
                </c:pt>
                <c:pt idx="7">
                  <c:v>1.7872566881109921</c:v>
                </c:pt>
                <c:pt idx="8">
                  <c:v>1.520574461395797</c:v>
                </c:pt>
                <c:pt idx="9">
                  <c:v>1.2954945892511589</c:v>
                </c:pt>
                <c:pt idx="10">
                  <c:v>1.102024193271631</c:v>
                </c:pt>
                <c:pt idx="11">
                  <c:v>0.93327513272549933</c:v>
                </c:pt>
                <c:pt idx="12">
                  <c:v>0.78435374133373759</c:v>
                </c:pt>
                <c:pt idx="13">
                  <c:v>0.65169457330999914</c:v>
                </c:pt>
                <c:pt idx="14">
                  <c:v>0.53264390910047721</c:v>
                </c:pt>
                <c:pt idx="15">
                  <c:v>0.42519018309500123</c:v>
                </c:pt>
                <c:pt idx="16">
                  <c:v>0.32778420148362786</c:v>
                </c:pt>
                <c:pt idx="17">
                  <c:v>0.23921607415799462</c:v>
                </c:pt>
                <c:pt idx="18">
                  <c:v>0.1585290151921035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DF-4A3D-B160-3723AC999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862991"/>
        <c:axId val="633345343"/>
      </c:scatterChart>
      <c:valAx>
        <c:axId val="724862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33345343"/>
        <c:crosses val="autoZero"/>
        <c:crossBetween val="midCat"/>
      </c:valAx>
      <c:valAx>
        <c:axId val="63334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24862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f''(x)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VBA!$B$4:$B$22</c:f>
              <c:numCache>
                <c:formatCode>General</c:formatCode>
                <c:ptCount val="19"/>
                <c:pt idx="0">
                  <c:v>1.1000000000000001</c:v>
                </c:pt>
                <c:pt idx="1">
                  <c:v>1.1499999999999999</c:v>
                </c:pt>
                <c:pt idx="2">
                  <c:v>1.2</c:v>
                </c:pt>
                <c:pt idx="3">
                  <c:v>1.25</c:v>
                </c:pt>
                <c:pt idx="4">
                  <c:v>1.3</c:v>
                </c:pt>
                <c:pt idx="5">
                  <c:v>1.35</c:v>
                </c:pt>
                <c:pt idx="6">
                  <c:v>1.4</c:v>
                </c:pt>
                <c:pt idx="7">
                  <c:v>1.45</c:v>
                </c:pt>
                <c:pt idx="8">
                  <c:v>1.5</c:v>
                </c:pt>
                <c:pt idx="9">
                  <c:v>1.55</c:v>
                </c:pt>
                <c:pt idx="10">
                  <c:v>1.6</c:v>
                </c:pt>
                <c:pt idx="11">
                  <c:v>1.65</c:v>
                </c:pt>
                <c:pt idx="12">
                  <c:v>1.7</c:v>
                </c:pt>
                <c:pt idx="13">
                  <c:v>1.75</c:v>
                </c:pt>
                <c:pt idx="14">
                  <c:v>1.8</c:v>
                </c:pt>
                <c:pt idx="15">
                  <c:v>1.85</c:v>
                </c:pt>
                <c:pt idx="16">
                  <c:v>1.9</c:v>
                </c:pt>
                <c:pt idx="17">
                  <c:v>1.95</c:v>
                </c:pt>
                <c:pt idx="18">
                  <c:v>2</c:v>
                </c:pt>
              </c:numCache>
            </c:numRef>
          </c:xVal>
          <c:yVal>
            <c:numRef>
              <c:f>VBA!$E$4:$E$22</c:f>
              <c:numCache>
                <c:formatCode>General</c:formatCode>
                <c:ptCount val="19"/>
                <c:pt idx="0">
                  <c:v>-100.99500416527786</c:v>
                </c:pt>
                <c:pt idx="1">
                  <c:v>-45.433215522380543</c:v>
                </c:pt>
                <c:pt idx="2">
                  <c:v>-25.980066577841253</c:v>
                </c:pt>
                <c:pt idx="3">
                  <c:v>-16.968912421710645</c:v>
                </c:pt>
                <c:pt idx="4">
                  <c:v>-12.066447600236714</c:v>
                </c:pt>
                <c:pt idx="5">
                  <c:v>-9.1026380189698237</c:v>
                </c:pt>
                <c:pt idx="6">
                  <c:v>-7.1710609940028878</c:v>
                </c:pt>
                <c:pt idx="7">
                  <c:v>-5.8387187072909494</c:v>
                </c:pt>
                <c:pt idx="8">
                  <c:v>-4.8775825618903728</c:v>
                </c:pt>
                <c:pt idx="9">
                  <c:v>-4.1583096460264475</c:v>
                </c:pt>
                <c:pt idx="10">
                  <c:v>-3.603113392687455</c:v>
                </c:pt>
                <c:pt idx="11">
                  <c:v>-3.1629477038745</c:v>
                </c:pt>
                <c:pt idx="12">
                  <c:v>-2.8056585138151009</c:v>
                </c:pt>
                <c:pt idx="13">
                  <c:v>-2.5094666466515987</c:v>
                </c:pt>
                <c:pt idx="14">
                  <c:v>-2.2592067093471653</c:v>
                </c:pt>
                <c:pt idx="15">
                  <c:v>-2.0440661908676807</c:v>
                </c:pt>
                <c:pt idx="16">
                  <c:v>-1.8561778695052324</c:v>
                </c:pt>
                <c:pt idx="17">
                  <c:v>-1.6897163304611134</c:v>
                </c:pt>
                <c:pt idx="18">
                  <c:v>-1.5403023058681398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20-4D4C-BE87-64C0A5065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192719"/>
        <c:axId val="715539167"/>
      </c:scatterChart>
      <c:valAx>
        <c:axId val="717192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15539167"/>
        <c:crosses val="autoZero"/>
        <c:crossBetween val="midCat"/>
      </c:valAx>
      <c:valAx>
        <c:axId val="715539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17192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495300</xdr:colOff>
      <xdr:row>0</xdr:row>
      <xdr:rowOff>85725</xdr:rowOff>
    </xdr:from>
    <xdr:to>
      <xdr:col>10</xdr:col>
      <xdr:colOff>200025</xdr:colOff>
      <xdr:row>4</xdr:row>
      <xdr:rowOff>76200</xdr:rowOff>
    </xdr:to>
    <xdr:pic>
      <xdr:nvPicPr>
        <xdr:cNvPr id="2" name="Imagen 1" descr="descarga">
          <a:extLst>
            <a:ext uri="{FF2B5EF4-FFF2-40B4-BE49-F238E27FC236}">
              <a16:creationId xmlns:a16="http://schemas.microsoft.com/office/drawing/2014/main" id="{455CE9D6-FCFF-4BB6-A377-9C9D88F39B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586" t="7385" r="9756" b="8379"/>
        <a:stretch>
          <a:fillRect/>
        </a:stretch>
      </xdr:blipFill>
      <xdr:spPr bwMode="auto">
        <a:xfrm>
          <a:off x="6591300" y="85725"/>
          <a:ext cx="1228725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4762</xdr:rowOff>
    </xdr:from>
    <xdr:to>
      <xdr:col>10</xdr:col>
      <xdr:colOff>0</xdr:colOff>
      <xdr:row>17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8061B61-6C32-42EA-894E-4D9D4F7B0F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4763</xdr:colOff>
      <xdr:row>2</xdr:row>
      <xdr:rowOff>185737</xdr:rowOff>
    </xdr:from>
    <xdr:to>
      <xdr:col>12</xdr:col>
      <xdr:colOff>4763</xdr:colOff>
      <xdr:row>17</xdr:row>
      <xdr:rowOff>71437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C5D55D2-C1BB-4C73-BED3-7390B5F9DD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756047</xdr:colOff>
      <xdr:row>18</xdr:row>
      <xdr:rowOff>3572</xdr:rowOff>
    </xdr:from>
    <xdr:to>
      <xdr:col>11</xdr:col>
      <xdr:colOff>756047</xdr:colOff>
      <xdr:row>32</xdr:row>
      <xdr:rowOff>79772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A7C86DC-AFAD-4920-84C0-E13948C3D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756047</xdr:colOff>
      <xdr:row>33</xdr:row>
      <xdr:rowOff>182165</xdr:rowOff>
    </xdr:from>
    <xdr:to>
      <xdr:col>11</xdr:col>
      <xdr:colOff>756047</xdr:colOff>
      <xdr:row>48</xdr:row>
      <xdr:rowOff>67865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390E5F7-8918-4892-93BC-946CDEE9ED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E64EF-D0DD-4F50-91C6-DC196A0C3684}">
  <sheetPr codeName="Hoja4"/>
  <dimension ref="A1:A19"/>
  <sheetViews>
    <sheetView zoomScale="86" zoomScaleNormal="86" workbookViewId="0">
      <selection activeCell="D14" sqref="D14"/>
    </sheetView>
  </sheetViews>
  <sheetFormatPr baseColWidth="10" defaultRowHeight="15" x14ac:dyDescent="0.25"/>
  <sheetData>
    <row r="1" spans="1:1" ht="27" x14ac:dyDescent="0.25">
      <c r="A1" s="2" t="s">
        <v>7</v>
      </c>
    </row>
    <row r="2" spans="1:1" ht="23.25" x14ac:dyDescent="0.25">
      <c r="A2" s="3" t="s">
        <v>8</v>
      </c>
    </row>
    <row r="3" spans="1:1" ht="23.25" x14ac:dyDescent="0.25">
      <c r="A3" s="3" t="s">
        <v>11</v>
      </c>
    </row>
    <row r="4" spans="1:1" ht="23.25" x14ac:dyDescent="0.25">
      <c r="A4" s="3" t="s">
        <v>9</v>
      </c>
    </row>
    <row r="5" spans="1:1" ht="23.25" x14ac:dyDescent="0.25">
      <c r="A5" s="3" t="s">
        <v>14</v>
      </c>
    </row>
    <row r="6" spans="1:1" ht="20.25" x14ac:dyDescent="0.25">
      <c r="A6" s="4"/>
    </row>
    <row r="7" spans="1:1" ht="20.25" x14ac:dyDescent="0.25">
      <c r="A7" s="5" t="s">
        <v>12</v>
      </c>
    </row>
    <row r="8" spans="1:1" ht="20.25" x14ac:dyDescent="0.25">
      <c r="A8" s="4"/>
    </row>
    <row r="9" spans="1:1" ht="20.25" x14ac:dyDescent="0.25">
      <c r="A9" s="4"/>
    </row>
    <row r="10" spans="1:1" ht="20.25" x14ac:dyDescent="0.25">
      <c r="A10" s="5" t="s">
        <v>13</v>
      </c>
    </row>
    <row r="11" spans="1:1" ht="18" x14ac:dyDescent="0.25">
      <c r="A11" s="6"/>
    </row>
    <row r="12" spans="1:1" ht="18" x14ac:dyDescent="0.25">
      <c r="A12" s="6"/>
    </row>
    <row r="13" spans="1:1" ht="20.25" x14ac:dyDescent="0.25">
      <c r="A13" s="7" t="s">
        <v>15</v>
      </c>
    </row>
    <row r="14" spans="1:1" ht="18" x14ac:dyDescent="0.25">
      <c r="A14" s="6"/>
    </row>
    <row r="15" spans="1:1" ht="18" x14ac:dyDescent="0.25">
      <c r="A15" s="6"/>
    </row>
    <row r="16" spans="1:1" ht="20.25" x14ac:dyDescent="0.25">
      <c r="A16" s="7" t="s">
        <v>37</v>
      </c>
    </row>
    <row r="17" spans="1:1" ht="18" x14ac:dyDescent="0.25">
      <c r="A17" s="6"/>
    </row>
    <row r="18" spans="1:1" ht="18" x14ac:dyDescent="0.25">
      <c r="A18" s="6"/>
    </row>
    <row r="19" spans="1:1" ht="20.25" x14ac:dyDescent="0.3">
      <c r="A19" s="8" t="s">
        <v>40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48452-9557-41CC-82B7-70EEB1AE0D10}">
  <sheetPr codeName="Hoja2"/>
  <dimension ref="B1:C93"/>
  <sheetViews>
    <sheetView workbookViewId="0">
      <selection activeCell="E2" sqref="E2"/>
    </sheetView>
  </sheetViews>
  <sheetFormatPr baseColWidth="10" defaultRowHeight="15" x14ac:dyDescent="0.25"/>
  <cols>
    <col min="2" max="2" width="8.42578125" bestFit="1" customWidth="1"/>
    <col min="3" max="3" width="20.85546875" bestFit="1" customWidth="1"/>
  </cols>
  <sheetData>
    <row r="1" spans="2:3" ht="21" x14ac:dyDescent="0.35">
      <c r="B1" s="11" t="s">
        <v>1</v>
      </c>
      <c r="C1" s="11" t="s">
        <v>2</v>
      </c>
    </row>
    <row r="3" spans="2:3" x14ac:dyDescent="0.25">
      <c r="B3" s="13" t="s">
        <v>3</v>
      </c>
      <c r="C3" s="13" t="s">
        <v>4</v>
      </c>
    </row>
    <row r="4" spans="2:3" x14ac:dyDescent="0.25">
      <c r="B4" s="18">
        <v>1.1000000000000001</v>
      </c>
      <c r="C4" s="18">
        <f>LN(B4-1)+COS(B4-1)</f>
        <v>-1.3075809277160193</v>
      </c>
    </row>
    <row r="5" spans="2:3" x14ac:dyDescent="0.25">
      <c r="B5" s="18">
        <v>1.2</v>
      </c>
      <c r="C5" s="18">
        <f t="shared" ref="C5:C68" si="0">LN(B5-1)+COS(B5-1)</f>
        <v>-0.62937133459285888</v>
      </c>
    </row>
    <row r="6" spans="2:3" x14ac:dyDescent="0.25">
      <c r="B6" s="18">
        <v>1.3</v>
      </c>
      <c r="C6" s="18">
        <f t="shared" si="0"/>
        <v>-0.24863631520032992</v>
      </c>
    </row>
    <row r="7" spans="2:3" x14ac:dyDescent="0.25">
      <c r="B7" s="18">
        <v>1.4</v>
      </c>
      <c r="C7" s="18">
        <f t="shared" si="0"/>
        <v>4.7702621287297742E-3</v>
      </c>
    </row>
    <row r="8" spans="2:3" x14ac:dyDescent="0.25">
      <c r="B8" s="18">
        <v>1.5</v>
      </c>
      <c r="C8" s="18">
        <f t="shared" si="0"/>
        <v>0.18443538133042747</v>
      </c>
    </row>
    <row r="9" spans="2:3" x14ac:dyDescent="0.25">
      <c r="B9" s="18">
        <v>1.6</v>
      </c>
      <c r="C9" s="18">
        <f t="shared" si="0"/>
        <v>0.31450999114368772</v>
      </c>
    </row>
    <row r="10" spans="2:3" x14ac:dyDescent="0.25">
      <c r="B10" s="18">
        <v>1.7</v>
      </c>
      <c r="C10" s="18">
        <f t="shared" si="0"/>
        <v>0.40816724334575605</v>
      </c>
    </row>
    <row r="11" spans="2:3" x14ac:dyDescent="0.25">
      <c r="B11" s="18">
        <v>1.8</v>
      </c>
      <c r="C11" s="18">
        <f t="shared" si="0"/>
        <v>0.47356315803295568</v>
      </c>
    </row>
    <row r="12" spans="2:3" x14ac:dyDescent="0.25">
      <c r="B12" s="18">
        <v>1.9</v>
      </c>
      <c r="C12" s="18">
        <f t="shared" si="0"/>
        <v>0.51624945261283806</v>
      </c>
    </row>
    <row r="13" spans="2:3" x14ac:dyDescent="0.25">
      <c r="B13" s="18">
        <v>2</v>
      </c>
      <c r="C13" s="18">
        <f t="shared" si="0"/>
        <v>0.54030230586813977</v>
      </c>
    </row>
    <row r="14" spans="2:3" x14ac:dyDescent="0.25">
      <c r="B14" s="18">
        <v>2.1</v>
      </c>
      <c r="C14" s="18">
        <f t="shared" si="0"/>
        <v>0.54890630122990225</v>
      </c>
    </row>
    <row r="15" spans="2:3" x14ac:dyDescent="0.25">
      <c r="B15" s="18">
        <v>2.2000000000000002</v>
      </c>
      <c r="C15" s="18">
        <f t="shared" si="0"/>
        <v>0.54467931127062819</v>
      </c>
    </row>
    <row r="16" spans="2:3" x14ac:dyDescent="0.25">
      <c r="B16" s="18">
        <v>2.2999999999999998</v>
      </c>
      <c r="C16" s="18">
        <f t="shared" si="0"/>
        <v>0.52986309309207846</v>
      </c>
    </row>
    <row r="17" spans="2:3" x14ac:dyDescent="0.25">
      <c r="B17" s="18">
        <v>2.4</v>
      </c>
      <c r="C17" s="18">
        <f t="shared" si="0"/>
        <v>0.5064393795214539</v>
      </c>
    </row>
    <row r="18" spans="2:3" x14ac:dyDescent="0.25">
      <c r="B18" s="18">
        <v>2.5</v>
      </c>
      <c r="C18" s="18">
        <f t="shared" si="0"/>
        <v>0.47620230977586731</v>
      </c>
    </row>
    <row r="19" spans="2:3" x14ac:dyDescent="0.25">
      <c r="B19" s="18">
        <v>2.6</v>
      </c>
      <c r="C19" s="18">
        <f t="shared" si="0"/>
        <v>0.44080410694444683</v>
      </c>
    </row>
    <row r="20" spans="2:3" x14ac:dyDescent="0.25">
      <c r="B20" s="18">
        <v>2.7</v>
      </c>
      <c r="C20" s="18">
        <f t="shared" si="0"/>
        <v>0.40178375676664563</v>
      </c>
    </row>
    <row r="21" spans="2:3" x14ac:dyDescent="0.25">
      <c r="B21" s="18">
        <v>2.8</v>
      </c>
      <c r="C21" s="18">
        <f t="shared" si="0"/>
        <v>0.36058457020903206</v>
      </c>
    </row>
    <row r="22" spans="2:3" x14ac:dyDescent="0.25">
      <c r="B22" s="18">
        <v>2.9</v>
      </c>
      <c r="C22" s="18">
        <f t="shared" si="0"/>
        <v>0.31856431930889134</v>
      </c>
    </row>
    <row r="23" spans="2:3" x14ac:dyDescent="0.25">
      <c r="B23" s="18">
        <v>3</v>
      </c>
      <c r="C23" s="18">
        <f t="shared" si="0"/>
        <v>0.27700034401280288</v>
      </c>
    </row>
    <row r="24" spans="2:3" x14ac:dyDescent="0.25">
      <c r="B24" s="18">
        <v>3.1</v>
      </c>
      <c r="C24" s="18">
        <f t="shared" si="0"/>
        <v>0.23709124012951976</v>
      </c>
    </row>
    <row r="25" spans="2:3" x14ac:dyDescent="0.25">
      <c r="B25" s="18">
        <v>3.2</v>
      </c>
      <c r="C25" s="18">
        <f t="shared" si="0"/>
        <v>0.19995624310892446</v>
      </c>
    </row>
    <row r="26" spans="2:3" x14ac:dyDescent="0.25">
      <c r="B26" s="18">
        <v>3.3</v>
      </c>
      <c r="C26" s="18">
        <f t="shared" si="0"/>
        <v>0.16663310165527978</v>
      </c>
    </row>
    <row r="27" spans="2:3" x14ac:dyDescent="0.25">
      <c r="B27" s="18">
        <v>3.4</v>
      </c>
      <c r="C27" s="18">
        <f t="shared" si="0"/>
        <v>0.13807502181265441</v>
      </c>
    </row>
    <row r="28" spans="2:3" x14ac:dyDescent="0.25">
      <c r="B28" s="18">
        <v>3.5</v>
      </c>
      <c r="C28" s="18">
        <f t="shared" si="0"/>
        <v>0.11514711632722141</v>
      </c>
    </row>
    <row r="29" spans="2:3" x14ac:dyDescent="0.25">
      <c r="B29" s="18">
        <v>3.6</v>
      </c>
      <c r="C29" s="18">
        <f t="shared" si="0"/>
        <v>9.8622691658489026E-2</v>
      </c>
    </row>
    <row r="30" spans="2:3" x14ac:dyDescent="0.25">
      <c r="B30" s="18">
        <v>3.7</v>
      </c>
      <c r="C30" s="18">
        <f t="shared" si="0"/>
        <v>8.9179630993222236E-2</v>
      </c>
    </row>
    <row r="31" spans="2:3" x14ac:dyDescent="0.25">
      <c r="B31" s="18">
        <v>3.8</v>
      </c>
      <c r="C31" s="18">
        <f t="shared" si="0"/>
        <v>8.739707651250006E-2</v>
      </c>
    </row>
    <row r="32" spans="2:3" x14ac:dyDescent="0.25">
      <c r="B32" s="18">
        <v>3.9</v>
      </c>
      <c r="C32" s="18">
        <f t="shared" si="0"/>
        <v>9.3752571842837695E-2</v>
      </c>
    </row>
    <row r="33" spans="2:3" x14ac:dyDescent="0.25">
      <c r="B33" s="18">
        <v>4</v>
      </c>
      <c r="C33" s="18">
        <f t="shared" si="0"/>
        <v>0.10861979206766437</v>
      </c>
    </row>
    <row r="34" spans="2:3" x14ac:dyDescent="0.25">
      <c r="B34" s="18">
        <v>4.0999999999999996</v>
      </c>
      <c r="C34" s="18">
        <f t="shared" si="0"/>
        <v>0.13226696121782089</v>
      </c>
    </row>
    <row r="35" spans="2:3" x14ac:dyDescent="0.25">
      <c r="B35" s="18">
        <v>4.2</v>
      </c>
      <c r="C35" s="18">
        <f t="shared" si="0"/>
        <v>0.16485603401092774</v>
      </c>
    </row>
    <row r="36" spans="2:3" x14ac:dyDescent="0.25">
      <c r="B36" s="18">
        <v>4.3</v>
      </c>
      <c r="C36" s="18">
        <f t="shared" si="0"/>
        <v>0.20644269856356967</v>
      </c>
    </row>
    <row r="37" spans="2:3" x14ac:dyDescent="0.25">
      <c r="B37" s="18">
        <v>4.4000000000000004</v>
      </c>
      <c r="C37" s="18">
        <f t="shared" si="0"/>
        <v>0.25697723904265501</v>
      </c>
    </row>
    <row r="38" spans="2:3" x14ac:dyDescent="0.25">
      <c r="B38" s="18">
        <v>4.5</v>
      </c>
      <c r="C38" s="18">
        <f t="shared" si="0"/>
        <v>0.31630628120457172</v>
      </c>
    </row>
    <row r="39" spans="2:3" x14ac:dyDescent="0.25">
      <c r="B39" s="18">
        <v>4.5999999999999996</v>
      </c>
      <c r="C39" s="18">
        <f t="shared" si="0"/>
        <v>0.38417542912791702</v>
      </c>
    </row>
    <row r="40" spans="2:3" x14ac:dyDescent="0.25">
      <c r="B40" s="18">
        <v>4.7</v>
      </c>
      <c r="C40" s="18">
        <f t="shared" si="0"/>
        <v>0.46023278793977085</v>
      </c>
    </row>
    <row r="41" spans="2:3" x14ac:dyDescent="0.25">
      <c r="B41" s="18">
        <v>4.7999999999999901</v>
      </c>
      <c r="C41" s="18">
        <f t="shared" si="0"/>
        <v>0.5440333548179147</v>
      </c>
    </row>
    <row r="42" spans="2:3" x14ac:dyDescent="0.25">
      <c r="B42" s="18">
        <v>4.8999999999999897</v>
      </c>
      <c r="C42" s="18">
        <f t="shared" si="0"/>
        <v>0.63504424893545097</v>
      </c>
    </row>
    <row r="43" spans="2:3" x14ac:dyDescent="0.25">
      <c r="B43" s="18">
        <v>5</v>
      </c>
      <c r="C43" s="18">
        <f t="shared" si="0"/>
        <v>0.73265074025627863</v>
      </c>
    </row>
    <row r="44" spans="2:3" x14ac:dyDescent="0.25">
      <c r="B44" s="18">
        <v>5.0999999999999899</v>
      </c>
      <c r="C44" s="18">
        <f t="shared" si="0"/>
        <v>0.83616302717698243</v>
      </c>
    </row>
    <row r="45" spans="2:3" x14ac:dyDescent="0.25">
      <c r="B45" s="18">
        <v>5.1999999999999904</v>
      </c>
      <c r="C45" s="18">
        <f t="shared" si="0"/>
        <v>0.94482370394861237</v>
      </c>
    </row>
    <row r="46" spans="2:3" x14ac:dyDescent="0.25">
      <c r="B46" s="18">
        <v>5.2999999999999901</v>
      </c>
      <c r="C46" s="18">
        <f t="shared" si="0"/>
        <v>1.0578158506195301</v>
      </c>
    </row>
    <row r="47" spans="2:3" x14ac:dyDescent="0.25">
      <c r="B47" s="18">
        <v>5.3999999999999897</v>
      </c>
      <c r="C47" s="18">
        <f t="shared" si="0"/>
        <v>1.1742716709457837</v>
      </c>
    </row>
    <row r="48" spans="2:3" x14ac:dyDescent="0.25">
      <c r="B48" s="18">
        <v>5.4999999999999902</v>
      </c>
      <c r="C48" s="18">
        <f t="shared" si="0"/>
        <v>1.2932815973454828</v>
      </c>
    </row>
    <row r="49" spans="2:3" x14ac:dyDescent="0.25">
      <c r="B49" s="18">
        <v>5.5999999999999899</v>
      </c>
      <c r="C49" s="18">
        <f t="shared" si="0"/>
        <v>1.4139037765599827</v>
      </c>
    </row>
    <row r="50" spans="2:3" x14ac:dyDescent="0.25">
      <c r="B50" s="18">
        <v>5.6999999999999904</v>
      </c>
      <c r="C50" s="18">
        <f t="shared" si="0"/>
        <v>1.5351738452531105</v>
      </c>
    </row>
    <row r="51" spans="2:3" x14ac:dyDescent="0.25">
      <c r="B51" s="18">
        <v>5.7999999999999901</v>
      </c>
      <c r="C51" s="18">
        <f t="shared" si="0"/>
        <v>1.6561149013532799</v>
      </c>
    </row>
    <row r="52" spans="2:3" x14ac:dyDescent="0.25">
      <c r="B52" s="18">
        <v>5.8999999999999897</v>
      </c>
      <c r="C52" s="18">
        <f t="shared" si="0"/>
        <v>1.775747574539144</v>
      </c>
    </row>
    <row r="53" spans="2:3" x14ac:dyDescent="0.25">
      <c r="B53" s="18">
        <v>5.9999999999999902</v>
      </c>
      <c r="C53" s="18">
        <f t="shared" si="0"/>
        <v>1.8931000978973154</v>
      </c>
    </row>
    <row r="54" spans="2:3" x14ac:dyDescent="0.25">
      <c r="B54" s="18">
        <v>6.0999999999999899</v>
      </c>
      <c r="C54" s="18">
        <f t="shared" si="0"/>
        <v>2.0072182824432492</v>
      </c>
    </row>
    <row r="55" spans="2:3" x14ac:dyDescent="0.25">
      <c r="B55" s="18">
        <v>6.1999999999999904</v>
      </c>
      <c r="C55" s="18">
        <f t="shared" si="0"/>
        <v>2.1171752968877482</v>
      </c>
    </row>
    <row r="56" spans="2:3" x14ac:dyDescent="0.25">
      <c r="B56" s="18">
        <v>6.2999999999999901</v>
      </c>
      <c r="C56" s="18">
        <f t="shared" si="0"/>
        <v>2.2220811567372269</v>
      </c>
    </row>
    <row r="57" spans="2:3" x14ac:dyDescent="0.25">
      <c r="B57" s="18">
        <v>6.3999999999999897</v>
      </c>
      <c r="C57" s="18">
        <f t="shared" si="0"/>
        <v>2.3210918295128531</v>
      </c>
    </row>
    <row r="58" spans="2:3" x14ac:dyDescent="0.25">
      <c r="B58" s="18">
        <v>6.4999999999999902</v>
      </c>
      <c r="C58" s="18">
        <f t="shared" si="0"/>
        <v>2.4134178665296764</v>
      </c>
    </row>
    <row r="59" spans="2:3" x14ac:dyDescent="0.25">
      <c r="B59" s="18">
        <v>6.5999999999999899</v>
      </c>
      <c r="C59" s="18">
        <f t="shared" si="0"/>
        <v>2.498332476251345</v>
      </c>
    </row>
    <row r="60" spans="2:3" x14ac:dyDescent="0.25">
      <c r="B60" s="18">
        <v>6.6999999999999904</v>
      </c>
      <c r="C60" s="18">
        <f t="shared" si="0"/>
        <v>2.5751789596796573</v>
      </c>
    </row>
    <row r="61" spans="2:3" x14ac:dyDescent="0.25">
      <c r="B61" s="18">
        <v>6.7999999999999901</v>
      </c>
      <c r="C61" s="18">
        <f t="shared" si="0"/>
        <v>2.6433774344936865</v>
      </c>
    </row>
    <row r="62" spans="2:3" x14ac:dyDescent="0.25">
      <c r="B62" s="18">
        <v>6.8999999999999897</v>
      </c>
      <c r="C62" s="18">
        <f t="shared" si="0"/>
        <v>2.7024307816557038</v>
      </c>
    </row>
    <row r="63" spans="2:3" x14ac:dyDescent="0.25">
      <c r="B63" s="18">
        <v>6.9999999999999902</v>
      </c>
      <c r="C63" s="18">
        <f t="shared" si="0"/>
        <v>2.7519297558784168</v>
      </c>
    </row>
    <row r="64" spans="2:3" x14ac:dyDescent="0.25">
      <c r="B64" s="18">
        <v>7.0999999999999899</v>
      </c>
      <c r="C64" s="18">
        <f t="shared" si="0"/>
        <v>2.7915572096218466</v>
      </c>
    </row>
    <row r="65" spans="2:3" x14ac:dyDescent="0.25">
      <c r="B65" s="18">
        <v>7.1999999999999904</v>
      </c>
      <c r="C65" s="18">
        <f t="shared" si="0"/>
        <v>2.8210913890742608</v>
      </c>
    </row>
    <row r="66" spans="2:3" x14ac:dyDescent="0.25">
      <c r="B66" s="18">
        <v>7.2999999999999901</v>
      </c>
      <c r="C66" s="18">
        <f t="shared" si="0"/>
        <v>2.8404082697809008</v>
      </c>
    </row>
    <row r="67" spans="2:3" x14ac:dyDescent="0.25">
      <c r="B67" s="18">
        <v>7.3999999999999897</v>
      </c>
      <c r="C67" s="18">
        <f t="shared" si="0"/>
        <v>2.8494829091238181</v>
      </c>
    </row>
    <row r="68" spans="2:3" x14ac:dyDescent="0.25">
      <c r="B68" s="18">
        <v>7.4999999999999902</v>
      </c>
      <c r="C68" s="18">
        <f t="shared" si="0"/>
        <v>2.8483898026296157</v>
      </c>
    </row>
    <row r="69" spans="2:3" x14ac:dyDescent="0.25">
      <c r="B69" s="18">
        <v>7.5999999999999899</v>
      </c>
      <c r="C69" s="18">
        <f t="shared" ref="C69:C93" si="1">LN(B69-1)+COS(B69-1)</f>
        <v>2.837302240990911</v>
      </c>
    </row>
    <row r="70" spans="2:3" x14ac:dyDescent="0.25">
      <c r="B70" s="18">
        <v>7.6999999999999904</v>
      </c>
      <c r="C70" s="18">
        <f t="shared" si="1"/>
        <v>2.8164906746322425</v>
      </c>
    </row>
    <row r="71" spans="2:3" x14ac:dyDescent="0.25">
      <c r="B71" s="18">
        <v>7.7999999999999901</v>
      </c>
      <c r="C71" s="18">
        <f t="shared" si="1"/>
        <v>2.7863201025318896</v>
      </c>
    </row>
    <row r="72" spans="2:3" x14ac:dyDescent="0.25">
      <c r="B72" s="18">
        <v>7.8999999999999897</v>
      </c>
      <c r="C72" s="18">
        <f t="shared" si="1"/>
        <v>2.7472465117285751</v>
      </c>
    </row>
    <row r="73" spans="2:3" x14ac:dyDescent="0.25">
      <c r="B73" s="18">
        <v>7.9999999999999902</v>
      </c>
      <c r="C73" s="18">
        <f t="shared" si="1"/>
        <v>2.6998124033986231</v>
      </c>
    </row>
    <row r="74" spans="2:3" x14ac:dyDescent="0.25">
      <c r="B74" s="18">
        <v>8.0999999999999908</v>
      </c>
      <c r="C74" s="18">
        <f t="shared" si="1"/>
        <v>2.6446414504900817</v>
      </c>
    </row>
    <row r="75" spans="2:3" x14ac:dyDescent="0.25">
      <c r="B75" s="18">
        <v>8.1999999999999904</v>
      </c>
      <c r="C75" s="18">
        <f t="shared" si="1"/>
        <v>2.5824323405542708</v>
      </c>
    </row>
    <row r="76" spans="2:3" x14ac:dyDescent="0.25">
      <c r="B76" s="18">
        <v>8.2999999999999901</v>
      </c>
      <c r="C76" s="18">
        <f t="shared" si="1"/>
        <v>2.513951865535458</v>
      </c>
    </row>
    <row r="77" spans="2:3" x14ac:dyDescent="0.25">
      <c r="B77" s="18">
        <v>8.3999999999999897</v>
      </c>
      <c r="C77" s="18">
        <f t="shared" si="1"/>
        <v>2.4400273277845224</v>
      </c>
    </row>
    <row r="78" spans="2:3" x14ac:dyDescent="0.25">
      <c r="B78" s="18">
        <v>8.4999999999999893</v>
      </c>
      <c r="C78" s="18">
        <f t="shared" si="1"/>
        <v>2.361538338377299</v>
      </c>
    </row>
    <row r="79" spans="2:3" x14ac:dyDescent="0.25">
      <c r="B79" s="18">
        <v>8.5999999999999908</v>
      </c>
      <c r="C79" s="18">
        <f t="shared" si="1"/>
        <v>2.2794080898745488</v>
      </c>
    </row>
    <row r="80" spans="2:3" x14ac:dyDescent="0.25">
      <c r="B80" s="18">
        <v>8.6999999999999904</v>
      </c>
      <c r="C80" s="18">
        <f t="shared" si="1"/>
        <v>2.1945941908975111</v>
      </c>
    </row>
    <row r="81" spans="2:3" x14ac:dyDescent="0.25">
      <c r="B81" s="18">
        <v>8.7999999999999901</v>
      </c>
      <c r="C81" s="18">
        <f t="shared" si="1"/>
        <v>2.1080791542582045</v>
      </c>
    </row>
    <row r="82" spans="2:3" x14ac:dyDescent="0.25">
      <c r="B82" s="18">
        <v>8.8999999999999897</v>
      </c>
      <c r="C82" s="18">
        <f t="shared" si="1"/>
        <v>2.0208606338334483</v>
      </c>
    </row>
    <row r="83" spans="2:3" x14ac:dyDescent="0.25">
      <c r="B83" s="18">
        <v>8.9999999999999893</v>
      </c>
      <c r="C83" s="18">
        <f t="shared" si="1"/>
        <v>1.9339415078712314</v>
      </c>
    </row>
    <row r="84" spans="2:3" x14ac:dyDescent="0.25">
      <c r="B84" s="18">
        <v>9.0999999999999908</v>
      </c>
      <c r="C84" s="18">
        <f t="shared" si="1"/>
        <v>1.8483199079426094</v>
      </c>
    </row>
    <row r="85" spans="2:3" x14ac:dyDescent="0.25">
      <c r="B85" s="18">
        <v>9.1999999999999904</v>
      </c>
      <c r="C85" s="18">
        <f t="shared" si="1"/>
        <v>1.7649792932863799</v>
      </c>
    </row>
    <row r="86" spans="2:3" x14ac:dyDescent="0.25">
      <c r="B86" s="18">
        <v>9.2999999999999901</v>
      </c>
      <c r="C86" s="18">
        <f t="shared" si="1"/>
        <v>1.6848786698319398</v>
      </c>
    </row>
    <row r="87" spans="2:3" x14ac:dyDescent="0.25">
      <c r="B87" s="18">
        <v>9.3999999999999897</v>
      </c>
      <c r="C87" s="18">
        <f t="shared" si="1"/>
        <v>1.6089430517325902</v>
      </c>
    </row>
    <row r="88" spans="2:3" x14ac:dyDescent="0.25">
      <c r="B88" s="18">
        <v>9.4999999999999893</v>
      </c>
      <c r="C88" s="18">
        <f t="shared" si="1"/>
        <v>1.5380542608114545</v>
      </c>
    </row>
    <row r="89" spans="2:3" x14ac:dyDescent="0.25">
      <c r="B89" s="18">
        <v>9.5999999999999908</v>
      </c>
      <c r="C89" s="18">
        <f t="shared" si="1"/>
        <v>1.4730421559394551</v>
      </c>
    </row>
    <row r="90" spans="2:3" x14ac:dyDescent="0.25">
      <c r="B90" s="18">
        <v>9.6999999999999904</v>
      </c>
      <c r="C90" s="18">
        <f t="shared" si="1"/>
        <v>1.4146763800631441</v>
      </c>
    </row>
    <row r="91" spans="2:3" x14ac:dyDescent="0.25">
      <c r="B91" s="18">
        <v>9.7999999999999901</v>
      </c>
      <c r="C91" s="18">
        <f t="shared" si="1"/>
        <v>1.3636587074225099</v>
      </c>
    </row>
    <row r="92" spans="2:3" x14ac:dyDescent="0.25">
      <c r="B92" s="18">
        <v>9.8999999999999897</v>
      </c>
      <c r="C92" s="18">
        <f t="shared" si="1"/>
        <v>1.320616067496986</v>
      </c>
    </row>
    <row r="93" spans="2:3" x14ac:dyDescent="0.25">
      <c r="B93" s="18">
        <v>9.9999999999999893</v>
      </c>
      <c r="C93" s="18">
        <f t="shared" si="1"/>
        <v>1.2860943154515456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AEC4F-7AE3-415D-BF6B-949988573BA6}">
  <sheetPr codeName="Hoja3"/>
  <dimension ref="B1:U182"/>
  <sheetViews>
    <sheetView tabSelected="1" topLeftCell="E16" zoomScale="75" zoomScaleNormal="75" workbookViewId="0">
      <selection activeCell="Q18" sqref="Q18"/>
    </sheetView>
  </sheetViews>
  <sheetFormatPr baseColWidth="10" defaultRowHeight="15" x14ac:dyDescent="0.25"/>
  <cols>
    <col min="2" max="2" width="12.28515625" bestFit="1" customWidth="1"/>
    <col min="3" max="3" width="20.85546875" bestFit="1" customWidth="1"/>
    <col min="4" max="5" width="12.7109375" bestFit="1" customWidth="1"/>
    <col min="14" max="14" width="40.5703125" customWidth="1"/>
    <col min="15" max="15" width="32.5703125" customWidth="1"/>
    <col min="16" max="16" width="20.140625" customWidth="1"/>
    <col min="17" max="17" width="30.42578125" customWidth="1"/>
  </cols>
  <sheetData>
    <row r="1" spans="2:21" ht="21" x14ac:dyDescent="0.35">
      <c r="B1" s="11" t="s">
        <v>1</v>
      </c>
      <c r="C1" s="11" t="s">
        <v>2</v>
      </c>
    </row>
    <row r="3" spans="2:21" x14ac:dyDescent="0.25">
      <c r="B3" s="13" t="s">
        <v>3</v>
      </c>
      <c r="C3" s="13" t="s">
        <v>4</v>
      </c>
      <c r="D3" s="13" t="s">
        <v>5</v>
      </c>
      <c r="E3" s="13" t="s">
        <v>6</v>
      </c>
      <c r="S3" s="13" t="s">
        <v>3</v>
      </c>
      <c r="T3" s="13" t="s">
        <v>22</v>
      </c>
      <c r="U3" s="13" t="s">
        <v>23</v>
      </c>
    </row>
    <row r="4" spans="2:21" ht="15" customHeight="1" x14ac:dyDescent="0.25">
      <c r="B4" s="12">
        <v>1.1000000000000001</v>
      </c>
      <c r="C4" s="12">
        <f>+funcion(B4)</f>
        <v>-1.3075809277160193</v>
      </c>
      <c r="D4" s="12">
        <f>+derfuncion(B4)</f>
        <v>9.9001665833531636</v>
      </c>
      <c r="E4" s="12">
        <f>+derderfuncion(B4)</f>
        <v>-100.99500416527786</v>
      </c>
      <c r="N4" s="45" t="s">
        <v>38</v>
      </c>
      <c r="O4" s="45"/>
      <c r="P4" s="45"/>
      <c r="Q4" s="45"/>
      <c r="S4" s="12">
        <v>1.1000000000000001</v>
      </c>
      <c r="T4" s="12">
        <f>+ABS(D4)</f>
        <v>9.9001665833531636</v>
      </c>
      <c r="U4" s="12">
        <f>+ABS(E4)</f>
        <v>100.99500416527786</v>
      </c>
    </row>
    <row r="5" spans="2:21" x14ac:dyDescent="0.25">
      <c r="B5" s="12">
        <v>1.1499999999999999</v>
      </c>
      <c r="C5" s="12">
        <f t="shared" ref="C5:C22" si="0">+funcion(B5)</f>
        <v>-0.90834890694983961</v>
      </c>
      <c r="D5" s="12">
        <f t="shared" ref="D5:D22" si="1">+derfuncion(B5)</f>
        <v>6.5172285341930714</v>
      </c>
      <c r="E5" s="12">
        <f t="shared" ref="E5:E22" si="2">+derderfuncion(B5)</f>
        <v>-45.433215522380543</v>
      </c>
      <c r="N5" s="45"/>
      <c r="O5" s="45"/>
      <c r="P5" s="45"/>
      <c r="Q5" s="45"/>
      <c r="S5" s="12">
        <v>1.1499999999999999</v>
      </c>
      <c r="T5" s="12">
        <f t="shared" ref="T5:T22" si="3">+ABS(D5)</f>
        <v>6.5172285341930714</v>
      </c>
      <c r="U5" s="12">
        <f t="shared" ref="U5:U22" si="4">+ABS(E5)</f>
        <v>45.433215522380543</v>
      </c>
    </row>
    <row r="6" spans="2:21" x14ac:dyDescent="0.25">
      <c r="B6" s="12">
        <v>1.2</v>
      </c>
      <c r="C6" s="12">
        <f t="shared" si="0"/>
        <v>-0.62937133459285888</v>
      </c>
      <c r="D6" s="12">
        <f t="shared" si="1"/>
        <v>4.8013306692049396</v>
      </c>
      <c r="E6" s="12">
        <f t="shared" si="2"/>
        <v>-25.980066577841253</v>
      </c>
      <c r="N6" s="45"/>
      <c r="O6" s="45"/>
      <c r="P6" s="45"/>
      <c r="Q6" s="45"/>
      <c r="S6" s="12">
        <v>1.2</v>
      </c>
      <c r="T6" s="12">
        <f t="shared" si="3"/>
        <v>4.8013306692049396</v>
      </c>
      <c r="U6" s="12">
        <f t="shared" si="4"/>
        <v>25.980066577841253</v>
      </c>
    </row>
    <row r="7" spans="2:21" x14ac:dyDescent="0.25">
      <c r="B7" s="12">
        <v>1.25</v>
      </c>
      <c r="C7" s="12">
        <f t="shared" si="0"/>
        <v>-0.41738193940924584</v>
      </c>
      <c r="D7" s="12">
        <f t="shared" si="1"/>
        <v>3.7525960407454773</v>
      </c>
      <c r="E7" s="12">
        <f t="shared" si="2"/>
        <v>-16.968912421710645</v>
      </c>
      <c r="N7" s="45"/>
      <c r="O7" s="45"/>
      <c r="P7" s="45"/>
      <c r="Q7" s="45"/>
      <c r="S7" s="12">
        <v>1.25</v>
      </c>
      <c r="T7" s="12">
        <f t="shared" si="3"/>
        <v>3.7525960407454773</v>
      </c>
      <c r="U7" s="12">
        <f t="shared" si="4"/>
        <v>16.968912421710645</v>
      </c>
    </row>
    <row r="8" spans="2:21" x14ac:dyDescent="0.25">
      <c r="B8" s="12">
        <v>1.3</v>
      </c>
      <c r="C8" s="12">
        <f t="shared" si="0"/>
        <v>-0.24863631520032992</v>
      </c>
      <c r="D8" s="12">
        <f t="shared" si="1"/>
        <v>3.0378131266719937</v>
      </c>
      <c r="E8" s="12">
        <f t="shared" si="2"/>
        <v>-12.066447600236714</v>
      </c>
      <c r="N8" s="1"/>
      <c r="S8" s="12">
        <v>1.3</v>
      </c>
      <c r="T8" s="12">
        <f t="shared" si="3"/>
        <v>3.0378131266719937</v>
      </c>
      <c r="U8" s="12">
        <f t="shared" si="4"/>
        <v>12.066447600236714</v>
      </c>
    </row>
    <row r="9" spans="2:21" x14ac:dyDescent="0.25">
      <c r="B9" s="12">
        <v>1.35</v>
      </c>
      <c r="C9" s="12">
        <f t="shared" si="0"/>
        <v>-0.11044941165129851</v>
      </c>
      <c r="D9" s="12">
        <f t="shared" si="1"/>
        <v>2.5142450496874047</v>
      </c>
      <c r="E9" s="12">
        <f t="shared" si="2"/>
        <v>-9.1026380189698237</v>
      </c>
      <c r="N9" s="12" t="s">
        <v>10</v>
      </c>
      <c r="O9" s="14" t="s">
        <v>39</v>
      </c>
      <c r="S9" s="12">
        <v>1.35</v>
      </c>
      <c r="T9" s="12">
        <f t="shared" si="3"/>
        <v>2.5142450496874047</v>
      </c>
      <c r="U9" s="12">
        <f t="shared" si="4"/>
        <v>9.1026380189698237</v>
      </c>
    </row>
    <row r="10" spans="2:21" x14ac:dyDescent="0.25">
      <c r="B10" s="12">
        <v>1.4</v>
      </c>
      <c r="C10" s="12">
        <f t="shared" si="0"/>
        <v>4.7702621287297742E-3</v>
      </c>
      <c r="D10" s="12">
        <f t="shared" si="1"/>
        <v>2.1105816576913501</v>
      </c>
      <c r="E10" s="12">
        <f t="shared" si="2"/>
        <v>-7.1710609940028878</v>
      </c>
      <c r="N10" s="12" t="s">
        <v>16</v>
      </c>
      <c r="O10" s="12">
        <v>1.3</v>
      </c>
      <c r="S10" s="12">
        <v>1.4</v>
      </c>
      <c r="T10" s="12">
        <f t="shared" si="3"/>
        <v>2.1105816576913501</v>
      </c>
      <c r="U10" s="12">
        <f t="shared" si="4"/>
        <v>7.1710609940028878</v>
      </c>
    </row>
    <row r="11" spans="2:21" x14ac:dyDescent="0.25">
      <c r="B11" s="12">
        <v>1.45</v>
      </c>
      <c r="C11" s="12">
        <f t="shared" si="0"/>
        <v>0.10193940613490515</v>
      </c>
      <c r="D11" s="12">
        <f t="shared" si="1"/>
        <v>1.7872566881109921</v>
      </c>
      <c r="E11" s="12">
        <f t="shared" si="2"/>
        <v>-5.8387187072909494</v>
      </c>
      <c r="N11" s="12" t="s">
        <v>17</v>
      </c>
      <c r="O11" s="12">
        <v>1.65</v>
      </c>
      <c r="S11" s="12">
        <v>1.45</v>
      </c>
      <c r="T11" s="12">
        <f t="shared" si="3"/>
        <v>1.7872566881109921</v>
      </c>
      <c r="U11" s="12">
        <f t="shared" si="4"/>
        <v>5.8387187072909494</v>
      </c>
    </row>
    <row r="12" spans="2:21" x14ac:dyDescent="0.25">
      <c r="B12" s="12">
        <v>1.5</v>
      </c>
      <c r="C12" s="12">
        <f t="shared" si="0"/>
        <v>0.18443538133042747</v>
      </c>
      <c r="D12" s="12">
        <f t="shared" si="1"/>
        <v>1.520574461395797</v>
      </c>
      <c r="E12" s="12">
        <f t="shared" si="2"/>
        <v>-4.8775825618903728</v>
      </c>
      <c r="S12" s="12">
        <v>1.5</v>
      </c>
      <c r="T12" s="12">
        <f t="shared" si="3"/>
        <v>1.520574461395797</v>
      </c>
      <c r="U12" s="12">
        <f t="shared" si="4"/>
        <v>4.8775825618903728</v>
      </c>
    </row>
    <row r="13" spans="2:21" x14ac:dyDescent="0.25">
      <c r="B13" s="12">
        <v>1.55</v>
      </c>
      <c r="C13" s="12">
        <f t="shared" si="0"/>
        <v>0.25468752130388528</v>
      </c>
      <c r="D13" s="12">
        <f t="shared" si="1"/>
        <v>1.2954945892511589</v>
      </c>
      <c r="E13" s="12">
        <f t="shared" si="2"/>
        <v>-4.1583096460264475</v>
      </c>
      <c r="N13" s="12" t="s">
        <v>25</v>
      </c>
      <c r="O13" s="12">
        <f>+Bolzano(B4,B22)</f>
        <v>-0.70648899035416646</v>
      </c>
      <c r="S13" s="12">
        <v>1.55</v>
      </c>
      <c r="T13" s="12">
        <f t="shared" si="3"/>
        <v>1.2954945892511589</v>
      </c>
      <c r="U13" s="12">
        <f t="shared" si="4"/>
        <v>4.1583096460264475</v>
      </c>
    </row>
    <row r="14" spans="2:21" x14ac:dyDescent="0.25">
      <c r="B14" s="12">
        <v>1.6</v>
      </c>
      <c r="C14" s="12">
        <f t="shared" si="0"/>
        <v>0.31450999114368772</v>
      </c>
      <c r="D14" s="12">
        <f>+derfuncion(B14)</f>
        <v>1.102024193271631</v>
      </c>
      <c r="E14" s="12">
        <f t="shared" si="2"/>
        <v>-3.603113392687455</v>
      </c>
      <c r="N14" s="22" t="s">
        <v>24</v>
      </c>
      <c r="O14" s="23" t="str">
        <f>+Existencia(O13)</f>
        <v>Se cumple Bolzano</v>
      </c>
      <c r="S14" s="12">
        <v>1.6</v>
      </c>
      <c r="T14" s="12">
        <f t="shared" si="3"/>
        <v>1.102024193271631</v>
      </c>
      <c r="U14" s="12">
        <f t="shared" si="4"/>
        <v>3.603113392687455</v>
      </c>
    </row>
    <row r="15" spans="2:21" x14ac:dyDescent="0.25">
      <c r="B15" s="12">
        <v>1.65</v>
      </c>
      <c r="C15" s="12">
        <f t="shared" si="0"/>
        <v>0.36530088245660147</v>
      </c>
      <c r="D15" s="12">
        <f t="shared" si="1"/>
        <v>0.93327513272549933</v>
      </c>
      <c r="E15" s="12">
        <f t="shared" si="2"/>
        <v>-3.1629477038745</v>
      </c>
      <c r="S15" s="12">
        <v>1.65</v>
      </c>
      <c r="T15" s="12">
        <f t="shared" si="3"/>
        <v>0.93327513272549933</v>
      </c>
      <c r="U15" s="12">
        <f t="shared" si="4"/>
        <v>3.1629477038745</v>
      </c>
    </row>
    <row r="16" spans="2:21" x14ac:dyDescent="0.25">
      <c r="B16" s="12">
        <v>1.7</v>
      </c>
      <c r="C16" s="12">
        <f t="shared" si="0"/>
        <v>0.40816724334575605</v>
      </c>
      <c r="D16" s="12">
        <f t="shared" si="1"/>
        <v>0.78435374133373759</v>
      </c>
      <c r="E16" s="12">
        <f t="shared" si="2"/>
        <v>-2.8056585138151009</v>
      </c>
      <c r="N16" s="24" t="s">
        <v>26</v>
      </c>
      <c r="O16" s="26"/>
      <c r="S16" s="12">
        <v>1.7</v>
      </c>
      <c r="T16" s="12">
        <f t="shared" si="3"/>
        <v>0.78435374133373759</v>
      </c>
      <c r="U16" s="12">
        <f t="shared" si="4"/>
        <v>2.8056585138151009</v>
      </c>
    </row>
    <row r="17" spans="2:21" x14ac:dyDescent="0.25">
      <c r="B17" s="12">
        <v>1.75</v>
      </c>
      <c r="C17" s="12">
        <f t="shared" si="0"/>
        <v>0.44400679642204</v>
      </c>
      <c r="D17" s="12">
        <f t="shared" si="1"/>
        <v>0.65169457330999914</v>
      </c>
      <c r="E17" s="12">
        <f t="shared" si="2"/>
        <v>-2.5094666466515987</v>
      </c>
      <c r="N17" s="12" t="s">
        <v>27</v>
      </c>
      <c r="O17" s="25" t="str">
        <f>+Unicidad(B4,B22)</f>
        <v>Se cumple Unicidad</v>
      </c>
      <c r="S17" s="12">
        <v>1.75</v>
      </c>
      <c r="T17" s="12">
        <f t="shared" si="3"/>
        <v>0.65169457330999914</v>
      </c>
      <c r="U17" s="12">
        <f t="shared" si="4"/>
        <v>2.5094666466515987</v>
      </c>
    </row>
    <row r="18" spans="2:21" x14ac:dyDescent="0.25">
      <c r="B18" s="12">
        <v>1.8</v>
      </c>
      <c r="C18" s="12">
        <f t="shared" si="0"/>
        <v>0.47356315803295568</v>
      </c>
      <c r="D18" s="12">
        <f t="shared" si="1"/>
        <v>0.53264390910047721</v>
      </c>
      <c r="E18" s="12">
        <f t="shared" si="2"/>
        <v>-2.2592067093471653</v>
      </c>
      <c r="N18" s="20" t="s">
        <v>41</v>
      </c>
      <c r="O18" s="46" t="str">
        <f>+a_nr_s(O14,O17)</f>
        <v>Puedo Aplicar Newton-Raphson o Secante</v>
      </c>
      <c r="S18" s="12">
        <v>1.8</v>
      </c>
      <c r="T18" s="12">
        <f t="shared" si="3"/>
        <v>0.53264390910047721</v>
      </c>
      <c r="U18" s="12">
        <f t="shared" si="4"/>
        <v>2.2592067093471653</v>
      </c>
    </row>
    <row r="19" spans="2:21" x14ac:dyDescent="0.25">
      <c r="B19" s="12">
        <v>1.85</v>
      </c>
      <c r="C19" s="12">
        <f t="shared" si="0"/>
        <v>0.49746421638720728</v>
      </c>
      <c r="D19" s="12">
        <f t="shared" si="1"/>
        <v>0.42519018309500123</v>
      </c>
      <c r="E19" s="12">
        <f t="shared" si="2"/>
        <v>-2.0440661908676807</v>
      </c>
      <c r="N19" s="29"/>
      <c r="O19" s="47"/>
      <c r="S19" s="12">
        <v>1.85</v>
      </c>
      <c r="T19" s="12">
        <f t="shared" si="3"/>
        <v>0.42519018309500123</v>
      </c>
      <c r="U19" s="12">
        <f t="shared" si="4"/>
        <v>2.0440661908676807</v>
      </c>
    </row>
    <row r="20" spans="2:21" x14ac:dyDescent="0.25">
      <c r="B20" s="12">
        <v>1.9</v>
      </c>
      <c r="C20" s="12">
        <f t="shared" si="0"/>
        <v>0.51624945261283806</v>
      </c>
      <c r="D20" s="12">
        <f t="shared" si="1"/>
        <v>0.32778420148362786</v>
      </c>
      <c r="E20" s="12">
        <f t="shared" si="2"/>
        <v>-1.8561778695052324</v>
      </c>
      <c r="S20" s="12">
        <v>1.9</v>
      </c>
      <c r="T20" s="12">
        <f t="shared" si="3"/>
        <v>0.32778420148362786</v>
      </c>
      <c r="U20" s="12">
        <f t="shared" si="4"/>
        <v>1.8561778695052324</v>
      </c>
    </row>
    <row r="21" spans="2:21" x14ac:dyDescent="0.25">
      <c r="B21" s="12">
        <v>1.95</v>
      </c>
      <c r="C21" s="12">
        <f t="shared" si="0"/>
        <v>0.53038979507633288</v>
      </c>
      <c r="D21" s="12">
        <f t="shared" si="1"/>
        <v>0.23921607415799462</v>
      </c>
      <c r="E21" s="12">
        <f t="shared" si="2"/>
        <v>-1.6897163304611134</v>
      </c>
      <c r="N21" s="12" t="s">
        <v>20</v>
      </c>
      <c r="O21" s="12">
        <f>ABS(+MIN(D8,D15))</f>
        <v>0.93327513272549933</v>
      </c>
      <c r="S21" s="12">
        <v>1.95</v>
      </c>
      <c r="T21" s="12">
        <f t="shared" si="3"/>
        <v>0.23921607415799462</v>
      </c>
      <c r="U21" s="12">
        <f t="shared" si="4"/>
        <v>1.6897163304611134</v>
      </c>
    </row>
    <row r="22" spans="2:21" x14ac:dyDescent="0.25">
      <c r="B22" s="12">
        <v>2</v>
      </c>
      <c r="C22" s="12">
        <f t="shared" si="0"/>
        <v>0.54030230586813965</v>
      </c>
      <c r="D22" s="12">
        <f t="shared" si="1"/>
        <v>0.1585290151921035</v>
      </c>
      <c r="E22" s="12">
        <f t="shared" si="2"/>
        <v>-1.5403023058681398</v>
      </c>
      <c r="N22" s="12" t="s">
        <v>19</v>
      </c>
      <c r="O22" s="12">
        <f>ABS(+MAX(E8,E15))</f>
        <v>3.1629477038745</v>
      </c>
      <c r="S22" s="12">
        <v>2</v>
      </c>
      <c r="T22" s="12">
        <f t="shared" si="3"/>
        <v>0.1585290151921035</v>
      </c>
      <c r="U22" s="12">
        <f t="shared" si="4"/>
        <v>1.5403023058681398</v>
      </c>
    </row>
    <row r="23" spans="2:21" x14ac:dyDescent="0.25">
      <c r="B23" s="21"/>
      <c r="C23" s="21"/>
      <c r="D23" s="21"/>
      <c r="E23" s="21"/>
      <c r="Q23" s="10"/>
    </row>
    <row r="24" spans="2:21" x14ac:dyDescent="0.25">
      <c r="B24" s="21"/>
      <c r="C24" s="21"/>
      <c r="D24" s="21"/>
      <c r="E24" s="21"/>
      <c r="N24" s="12" t="s">
        <v>18</v>
      </c>
      <c r="O24" s="12">
        <f>+O10</f>
        <v>1.3</v>
      </c>
      <c r="Q24" s="9"/>
    </row>
    <row r="25" spans="2:21" x14ac:dyDescent="0.25">
      <c r="B25" s="21"/>
      <c r="C25" s="21"/>
      <c r="D25" s="21"/>
      <c r="E25" s="21"/>
      <c r="N25" s="12" t="s">
        <v>0</v>
      </c>
      <c r="O25" s="12">
        <f>10^(-5)</f>
        <v>1.0000000000000001E-5</v>
      </c>
      <c r="P25" s="9"/>
    </row>
    <row r="26" spans="2:21" ht="15" customHeight="1" x14ac:dyDescent="0.25">
      <c r="B26" s="21"/>
      <c r="C26" s="21"/>
      <c r="D26" s="21"/>
      <c r="E26" s="21"/>
      <c r="N26" s="43" t="s">
        <v>30</v>
      </c>
      <c r="O26" s="48">
        <f>+Niteraciones(O25,O22,O21,O10,O11)</f>
        <v>4.0738804847586456</v>
      </c>
      <c r="P26" s="49">
        <f>ROUNDUP(O26,0)</f>
        <v>5</v>
      </c>
    </row>
    <row r="27" spans="2:21" x14ac:dyDescent="0.25">
      <c r="B27" s="21"/>
      <c r="C27" s="21"/>
      <c r="D27" s="21"/>
      <c r="E27" s="21"/>
      <c r="N27" s="44"/>
      <c r="O27" s="48"/>
      <c r="P27" s="49"/>
    </row>
    <row r="28" spans="2:21" x14ac:dyDescent="0.25">
      <c r="B28" s="21"/>
      <c r="C28" s="21"/>
      <c r="D28" s="21"/>
      <c r="E28" s="21"/>
      <c r="N28" s="18" t="s">
        <v>32</v>
      </c>
      <c r="O28" s="19">
        <f>tol(O22,O21,O10,O11,P26)</f>
        <v>3.2418983068113637E-8</v>
      </c>
      <c r="P28" s="39" t="s">
        <v>35</v>
      </c>
      <c r="Q28" s="17"/>
    </row>
    <row r="29" spans="2:21" ht="15" customHeight="1" x14ac:dyDescent="0.25">
      <c r="B29" s="21"/>
      <c r="C29" s="21"/>
      <c r="D29" s="21"/>
      <c r="E29" s="21"/>
      <c r="N29" s="40" t="s">
        <v>36</v>
      </c>
      <c r="O29" s="38">
        <f>+N41-O30</f>
        <v>2.6112429818425653E-7</v>
      </c>
      <c r="P29" s="41" t="s">
        <v>34</v>
      </c>
    </row>
    <row r="30" spans="2:21" ht="14.25" customHeight="1" x14ac:dyDescent="0.25">
      <c r="B30" s="21"/>
      <c r="C30" s="21"/>
      <c r="D30" s="21"/>
      <c r="E30" s="21"/>
      <c r="N30" s="27" t="s">
        <v>21</v>
      </c>
      <c r="O30" s="28">
        <f>+NR(O24,O25,P26)</f>
        <v>1.3977484759585819</v>
      </c>
      <c r="P30" s="42"/>
    </row>
    <row r="31" spans="2:21" x14ac:dyDescent="0.25">
      <c r="B31" s="21"/>
      <c r="C31" s="21"/>
      <c r="D31" s="21"/>
      <c r="E31" s="21"/>
    </row>
    <row r="32" spans="2:21" x14ac:dyDescent="0.25">
      <c r="B32" s="21"/>
      <c r="C32" s="21"/>
      <c r="D32" s="21"/>
      <c r="E32" s="21"/>
      <c r="N32" s="12" t="s">
        <v>18</v>
      </c>
      <c r="O32" s="12">
        <v>1.3</v>
      </c>
    </row>
    <row r="33" spans="2:16" x14ac:dyDescent="0.25">
      <c r="B33" s="21"/>
      <c r="C33" s="21"/>
      <c r="D33" s="21"/>
      <c r="E33" s="21"/>
      <c r="N33" s="12" t="s">
        <v>28</v>
      </c>
      <c r="O33" s="12">
        <v>1.4</v>
      </c>
    </row>
    <row r="34" spans="2:16" x14ac:dyDescent="0.25">
      <c r="B34" s="21"/>
      <c r="C34" s="21"/>
      <c r="D34" s="21"/>
      <c r="E34" s="21"/>
      <c r="N34" s="12" t="s">
        <v>0</v>
      </c>
      <c r="O34" s="12">
        <f>10^(-5)</f>
        <v>1.0000000000000001E-5</v>
      </c>
      <c r="P34" s="39" t="s">
        <v>35</v>
      </c>
    </row>
    <row r="35" spans="2:16" x14ac:dyDescent="0.25">
      <c r="B35" s="21"/>
      <c r="C35" s="21"/>
      <c r="D35" s="21"/>
      <c r="E35" s="21"/>
      <c r="N35" s="15" t="s">
        <v>31</v>
      </c>
      <c r="O35" s="16">
        <v>10</v>
      </c>
      <c r="P35" s="41" t="s">
        <v>34</v>
      </c>
    </row>
    <row r="36" spans="2:16" x14ac:dyDescent="0.25">
      <c r="B36" s="21"/>
      <c r="C36" s="21"/>
      <c r="D36" s="21"/>
      <c r="E36" s="21"/>
      <c r="N36" s="40" t="s">
        <v>36</v>
      </c>
      <c r="O36" s="37">
        <f>+N41-O37</f>
        <v>2.6023433385979899E-7</v>
      </c>
      <c r="P36" s="42"/>
    </row>
    <row r="37" spans="2:16" x14ac:dyDescent="0.25">
      <c r="B37" s="21"/>
      <c r="C37" s="21"/>
      <c r="D37" s="21"/>
      <c r="E37" s="21"/>
      <c r="N37" s="27" t="s">
        <v>29</v>
      </c>
      <c r="O37" s="28">
        <f>+Secante(O32,O33,O34,O35)</f>
        <v>1.3977484768485462</v>
      </c>
    </row>
    <row r="38" spans="2:16" x14ac:dyDescent="0.25">
      <c r="B38" s="21"/>
      <c r="C38" s="21"/>
      <c r="D38" s="21"/>
      <c r="E38" s="21"/>
      <c r="N38" s="31"/>
      <c r="O38" s="30"/>
      <c r="P38" s="30"/>
    </row>
    <row r="39" spans="2:16" x14ac:dyDescent="0.25">
      <c r="B39" s="21"/>
      <c r="C39" s="21"/>
      <c r="D39" s="21"/>
      <c r="E39" s="21"/>
      <c r="N39" s="33" t="s">
        <v>33</v>
      </c>
      <c r="O39" s="26"/>
      <c r="P39" s="21"/>
    </row>
    <row r="40" spans="2:16" x14ac:dyDescent="0.25">
      <c r="B40" s="21"/>
      <c r="C40" s="21"/>
      <c r="D40" s="21"/>
      <c r="E40" s="21"/>
      <c r="N40" s="32" t="s">
        <v>3</v>
      </c>
      <c r="O40" s="26" t="s">
        <v>4</v>
      </c>
      <c r="P40" s="34"/>
    </row>
    <row r="41" spans="2:16" x14ac:dyDescent="0.25">
      <c r="B41" s="21"/>
      <c r="C41" s="21"/>
      <c r="D41" s="21"/>
      <c r="E41" s="21"/>
      <c r="N41" s="28">
        <v>1.3977487370828801</v>
      </c>
      <c r="O41" s="36">
        <f>+LN(N41-1)+COS(N41-1)</f>
        <v>5.5536067866679417E-7</v>
      </c>
      <c r="P41" s="35"/>
    </row>
    <row r="42" spans="2:16" x14ac:dyDescent="0.25">
      <c r="B42" s="21"/>
      <c r="C42" s="21"/>
      <c r="D42" s="21"/>
      <c r="E42" s="21"/>
    </row>
    <row r="43" spans="2:16" x14ac:dyDescent="0.25">
      <c r="B43" s="21"/>
      <c r="C43" s="21"/>
      <c r="D43" s="21"/>
      <c r="E43" s="21"/>
      <c r="N43" s="31"/>
    </row>
    <row r="44" spans="2:16" x14ac:dyDescent="0.25">
      <c r="B44" s="21"/>
      <c r="C44" s="21"/>
      <c r="D44" s="21"/>
      <c r="E44" s="21"/>
    </row>
    <row r="45" spans="2:16" x14ac:dyDescent="0.25">
      <c r="B45" s="21"/>
      <c r="C45" s="21"/>
      <c r="D45" s="21"/>
      <c r="E45" s="21"/>
    </row>
    <row r="46" spans="2:16" x14ac:dyDescent="0.25">
      <c r="B46" s="21"/>
      <c r="C46" s="21"/>
      <c r="D46" s="21"/>
      <c r="E46" s="21"/>
    </row>
    <row r="47" spans="2:16" x14ac:dyDescent="0.25">
      <c r="B47" s="21"/>
      <c r="C47" s="21"/>
      <c r="D47" s="21"/>
      <c r="E47" s="21"/>
    </row>
    <row r="48" spans="2:16" x14ac:dyDescent="0.25">
      <c r="B48" s="21"/>
      <c r="C48" s="21"/>
      <c r="D48" s="21"/>
      <c r="E48" s="21"/>
    </row>
    <row r="49" spans="2:5" x14ac:dyDescent="0.25">
      <c r="B49" s="21"/>
      <c r="C49" s="21"/>
      <c r="D49" s="21"/>
      <c r="E49" s="21"/>
    </row>
    <row r="50" spans="2:5" x14ac:dyDescent="0.25">
      <c r="B50" s="21"/>
      <c r="C50" s="21"/>
      <c r="D50" s="21"/>
      <c r="E50" s="21"/>
    </row>
    <row r="51" spans="2:5" x14ac:dyDescent="0.25">
      <c r="B51" s="21"/>
      <c r="C51" s="21"/>
      <c r="D51" s="21"/>
      <c r="E51" s="21"/>
    </row>
    <row r="52" spans="2:5" x14ac:dyDescent="0.25">
      <c r="B52" s="21"/>
      <c r="C52" s="21"/>
      <c r="D52" s="21"/>
      <c r="E52" s="21"/>
    </row>
    <row r="53" spans="2:5" x14ac:dyDescent="0.25">
      <c r="B53" s="21"/>
      <c r="C53" s="21"/>
      <c r="D53" s="21"/>
      <c r="E53" s="21"/>
    </row>
    <row r="54" spans="2:5" x14ac:dyDescent="0.25">
      <c r="B54" s="21"/>
      <c r="C54" s="21"/>
      <c r="D54" s="21"/>
      <c r="E54" s="21"/>
    </row>
    <row r="55" spans="2:5" x14ac:dyDescent="0.25">
      <c r="B55" s="21"/>
      <c r="C55" s="21"/>
      <c r="D55" s="21"/>
      <c r="E55" s="21"/>
    </row>
    <row r="56" spans="2:5" x14ac:dyDescent="0.25">
      <c r="B56" s="21"/>
      <c r="C56" s="21"/>
      <c r="D56" s="21"/>
      <c r="E56" s="21"/>
    </row>
    <row r="57" spans="2:5" x14ac:dyDescent="0.25">
      <c r="B57" s="21"/>
      <c r="C57" s="21"/>
      <c r="D57" s="21"/>
      <c r="E57" s="21"/>
    </row>
    <row r="58" spans="2:5" x14ac:dyDescent="0.25">
      <c r="B58" s="21"/>
      <c r="C58" s="21"/>
      <c r="D58" s="21"/>
      <c r="E58" s="21"/>
    </row>
    <row r="59" spans="2:5" x14ac:dyDescent="0.25">
      <c r="B59" s="21"/>
      <c r="C59" s="21"/>
      <c r="D59" s="21"/>
      <c r="E59" s="21"/>
    </row>
    <row r="60" spans="2:5" x14ac:dyDescent="0.25">
      <c r="B60" s="21"/>
      <c r="C60" s="21"/>
      <c r="D60" s="21"/>
      <c r="E60" s="21"/>
    </row>
    <row r="61" spans="2:5" x14ac:dyDescent="0.25">
      <c r="B61" s="21"/>
      <c r="C61" s="21"/>
      <c r="D61" s="21"/>
      <c r="E61" s="21"/>
    </row>
    <row r="62" spans="2:5" x14ac:dyDescent="0.25">
      <c r="B62" s="21"/>
      <c r="C62" s="21"/>
      <c r="D62" s="21"/>
      <c r="E62" s="21"/>
    </row>
    <row r="63" spans="2:5" x14ac:dyDescent="0.25">
      <c r="B63" s="21"/>
      <c r="C63" s="21"/>
      <c r="D63" s="21"/>
      <c r="E63" s="21"/>
    </row>
    <row r="64" spans="2:5" x14ac:dyDescent="0.25">
      <c r="B64" s="21"/>
      <c r="C64" s="21"/>
      <c r="D64" s="21"/>
      <c r="E64" s="21"/>
    </row>
    <row r="65" spans="2:5" x14ac:dyDescent="0.25">
      <c r="B65" s="21"/>
      <c r="C65" s="21"/>
      <c r="D65" s="21"/>
      <c r="E65" s="21"/>
    </row>
    <row r="66" spans="2:5" x14ac:dyDescent="0.25">
      <c r="B66" s="21"/>
      <c r="C66" s="21"/>
      <c r="D66" s="21"/>
      <c r="E66" s="21"/>
    </row>
    <row r="67" spans="2:5" x14ac:dyDescent="0.25">
      <c r="B67" s="21"/>
      <c r="C67" s="21"/>
      <c r="D67" s="21"/>
      <c r="E67" s="21"/>
    </row>
    <row r="68" spans="2:5" x14ac:dyDescent="0.25">
      <c r="B68" s="21"/>
      <c r="C68" s="21"/>
      <c r="D68" s="21"/>
      <c r="E68" s="21"/>
    </row>
    <row r="69" spans="2:5" x14ac:dyDescent="0.25">
      <c r="B69" s="21"/>
      <c r="C69" s="21"/>
      <c r="D69" s="21"/>
      <c r="E69" s="21"/>
    </row>
    <row r="70" spans="2:5" x14ac:dyDescent="0.25">
      <c r="B70" s="21"/>
      <c r="C70" s="21"/>
      <c r="D70" s="21"/>
      <c r="E70" s="21"/>
    </row>
    <row r="71" spans="2:5" x14ac:dyDescent="0.25">
      <c r="B71" s="21"/>
      <c r="C71" s="21"/>
      <c r="D71" s="21"/>
      <c r="E71" s="21"/>
    </row>
    <row r="72" spans="2:5" x14ac:dyDescent="0.25">
      <c r="B72" s="21"/>
      <c r="C72" s="21"/>
      <c r="D72" s="21"/>
      <c r="E72" s="21"/>
    </row>
    <row r="73" spans="2:5" x14ac:dyDescent="0.25">
      <c r="B73" s="21"/>
      <c r="C73" s="21"/>
      <c r="D73" s="21"/>
      <c r="E73" s="21"/>
    </row>
    <row r="74" spans="2:5" x14ac:dyDescent="0.25">
      <c r="B74" s="21"/>
      <c r="C74" s="21"/>
      <c r="D74" s="21"/>
      <c r="E74" s="21"/>
    </row>
    <row r="75" spans="2:5" x14ac:dyDescent="0.25">
      <c r="B75" s="21"/>
      <c r="C75" s="21"/>
      <c r="D75" s="21"/>
      <c r="E75" s="21"/>
    </row>
    <row r="76" spans="2:5" x14ac:dyDescent="0.25">
      <c r="B76" s="21"/>
      <c r="C76" s="21"/>
      <c r="D76" s="21"/>
      <c r="E76" s="21"/>
    </row>
    <row r="77" spans="2:5" x14ac:dyDescent="0.25">
      <c r="B77" s="21"/>
      <c r="C77" s="21"/>
      <c r="D77" s="21"/>
      <c r="E77" s="21"/>
    </row>
    <row r="78" spans="2:5" x14ac:dyDescent="0.25">
      <c r="B78" s="21"/>
      <c r="C78" s="21"/>
      <c r="D78" s="21"/>
      <c r="E78" s="21"/>
    </row>
    <row r="79" spans="2:5" x14ac:dyDescent="0.25">
      <c r="B79" s="21"/>
      <c r="C79" s="21"/>
      <c r="D79" s="21"/>
      <c r="E79" s="21"/>
    </row>
    <row r="80" spans="2:5" x14ac:dyDescent="0.25">
      <c r="B80" s="21"/>
      <c r="C80" s="21"/>
      <c r="D80" s="21"/>
      <c r="E80" s="21"/>
    </row>
    <row r="81" spans="2:5" x14ac:dyDescent="0.25">
      <c r="B81" s="21"/>
      <c r="C81" s="21"/>
      <c r="D81" s="21"/>
      <c r="E81" s="21"/>
    </row>
    <row r="82" spans="2:5" x14ac:dyDescent="0.25">
      <c r="B82" s="21"/>
      <c r="C82" s="21"/>
      <c r="D82" s="21"/>
      <c r="E82" s="21"/>
    </row>
    <row r="83" spans="2:5" x14ac:dyDescent="0.25">
      <c r="B83" s="21"/>
      <c r="C83" s="21"/>
      <c r="D83" s="21"/>
      <c r="E83" s="21"/>
    </row>
    <row r="84" spans="2:5" x14ac:dyDescent="0.25">
      <c r="B84" s="21"/>
      <c r="C84" s="21"/>
      <c r="D84" s="21"/>
      <c r="E84" s="21"/>
    </row>
    <row r="85" spans="2:5" x14ac:dyDescent="0.25">
      <c r="B85" s="21"/>
      <c r="C85" s="21"/>
      <c r="D85" s="21"/>
      <c r="E85" s="21"/>
    </row>
    <row r="86" spans="2:5" x14ac:dyDescent="0.25">
      <c r="B86" s="21"/>
      <c r="C86" s="21"/>
      <c r="D86" s="21"/>
      <c r="E86" s="21"/>
    </row>
    <row r="87" spans="2:5" x14ac:dyDescent="0.25">
      <c r="B87" s="21"/>
      <c r="C87" s="21"/>
      <c r="D87" s="21"/>
      <c r="E87" s="21"/>
    </row>
    <row r="88" spans="2:5" x14ac:dyDescent="0.25">
      <c r="B88" s="21"/>
      <c r="C88" s="21"/>
      <c r="D88" s="21"/>
      <c r="E88" s="21"/>
    </row>
    <row r="89" spans="2:5" x14ac:dyDescent="0.25">
      <c r="B89" s="21"/>
      <c r="C89" s="21"/>
      <c r="D89" s="21"/>
      <c r="E89" s="21"/>
    </row>
    <row r="90" spans="2:5" x14ac:dyDescent="0.25">
      <c r="B90" s="21"/>
      <c r="C90" s="21"/>
      <c r="D90" s="21"/>
      <c r="E90" s="21"/>
    </row>
    <row r="91" spans="2:5" x14ac:dyDescent="0.25">
      <c r="B91" s="21"/>
      <c r="C91" s="21"/>
      <c r="D91" s="21"/>
      <c r="E91" s="21"/>
    </row>
    <row r="92" spans="2:5" x14ac:dyDescent="0.25">
      <c r="B92" s="21"/>
      <c r="C92" s="21"/>
      <c r="D92" s="21"/>
      <c r="E92" s="21"/>
    </row>
    <row r="93" spans="2:5" x14ac:dyDescent="0.25">
      <c r="B93" s="21"/>
      <c r="C93" s="21"/>
      <c r="D93" s="21"/>
      <c r="E93" s="21"/>
    </row>
    <row r="94" spans="2:5" x14ac:dyDescent="0.25">
      <c r="B94" s="21"/>
      <c r="C94" s="21"/>
      <c r="D94" s="21"/>
      <c r="E94" s="21"/>
    </row>
    <row r="95" spans="2:5" x14ac:dyDescent="0.25">
      <c r="B95" s="21"/>
      <c r="C95" s="21"/>
      <c r="D95" s="21"/>
      <c r="E95" s="21"/>
    </row>
    <row r="96" spans="2:5" x14ac:dyDescent="0.25">
      <c r="B96" s="21"/>
      <c r="C96" s="21"/>
      <c r="D96" s="21"/>
      <c r="E96" s="21"/>
    </row>
    <row r="97" spans="2:5" x14ac:dyDescent="0.25">
      <c r="B97" s="21"/>
      <c r="C97" s="21"/>
      <c r="D97" s="21"/>
      <c r="E97" s="21"/>
    </row>
    <row r="98" spans="2:5" x14ac:dyDescent="0.25">
      <c r="B98" s="21"/>
      <c r="C98" s="21"/>
      <c r="D98" s="21"/>
      <c r="E98" s="21"/>
    </row>
    <row r="99" spans="2:5" x14ac:dyDescent="0.25">
      <c r="B99" s="21"/>
      <c r="C99" s="21"/>
      <c r="D99" s="21"/>
      <c r="E99" s="21"/>
    </row>
    <row r="100" spans="2:5" x14ac:dyDescent="0.25">
      <c r="B100" s="21"/>
      <c r="C100" s="21"/>
      <c r="D100" s="21"/>
      <c r="E100" s="21"/>
    </row>
    <row r="101" spans="2:5" x14ac:dyDescent="0.25">
      <c r="B101" s="21"/>
      <c r="C101" s="21"/>
      <c r="D101" s="21"/>
      <c r="E101" s="21"/>
    </row>
    <row r="102" spans="2:5" x14ac:dyDescent="0.25">
      <c r="B102" s="21"/>
      <c r="C102" s="21"/>
      <c r="D102" s="21"/>
      <c r="E102" s="21"/>
    </row>
    <row r="103" spans="2:5" x14ac:dyDescent="0.25">
      <c r="B103" s="21"/>
      <c r="C103" s="21"/>
      <c r="D103" s="21"/>
      <c r="E103" s="21"/>
    </row>
    <row r="104" spans="2:5" x14ac:dyDescent="0.25">
      <c r="B104" s="21"/>
      <c r="C104" s="21"/>
      <c r="D104" s="21"/>
      <c r="E104" s="21"/>
    </row>
    <row r="105" spans="2:5" x14ac:dyDescent="0.25">
      <c r="B105" s="21"/>
      <c r="C105" s="21"/>
      <c r="D105" s="21"/>
      <c r="E105" s="21"/>
    </row>
    <row r="106" spans="2:5" x14ac:dyDescent="0.25">
      <c r="B106" s="21"/>
      <c r="C106" s="21"/>
      <c r="D106" s="21"/>
      <c r="E106" s="21"/>
    </row>
    <row r="107" spans="2:5" x14ac:dyDescent="0.25">
      <c r="B107" s="21"/>
      <c r="C107" s="21"/>
      <c r="D107" s="21"/>
      <c r="E107" s="21"/>
    </row>
    <row r="108" spans="2:5" x14ac:dyDescent="0.25">
      <c r="B108" s="21"/>
      <c r="C108" s="21"/>
      <c r="D108" s="21"/>
      <c r="E108" s="21"/>
    </row>
    <row r="109" spans="2:5" x14ac:dyDescent="0.25">
      <c r="B109" s="21"/>
      <c r="C109" s="21"/>
      <c r="D109" s="21"/>
      <c r="E109" s="21"/>
    </row>
    <row r="110" spans="2:5" x14ac:dyDescent="0.25">
      <c r="B110" s="21"/>
      <c r="C110" s="21"/>
      <c r="D110" s="21"/>
      <c r="E110" s="21"/>
    </row>
    <row r="111" spans="2:5" x14ac:dyDescent="0.25">
      <c r="B111" s="21"/>
      <c r="C111" s="21"/>
      <c r="D111" s="21"/>
      <c r="E111" s="21"/>
    </row>
    <row r="112" spans="2:5" x14ac:dyDescent="0.25">
      <c r="B112" s="21"/>
      <c r="C112" s="21"/>
      <c r="D112" s="21"/>
      <c r="E112" s="21"/>
    </row>
    <row r="113" spans="2:5" x14ac:dyDescent="0.25">
      <c r="B113" s="21"/>
      <c r="C113" s="21"/>
      <c r="D113" s="21"/>
      <c r="E113" s="21"/>
    </row>
    <row r="114" spans="2:5" x14ac:dyDescent="0.25">
      <c r="B114" s="21"/>
      <c r="C114" s="21"/>
      <c r="D114" s="21"/>
      <c r="E114" s="21"/>
    </row>
    <row r="115" spans="2:5" x14ac:dyDescent="0.25">
      <c r="B115" s="21"/>
      <c r="C115" s="21"/>
      <c r="D115" s="21"/>
      <c r="E115" s="21"/>
    </row>
    <row r="116" spans="2:5" x14ac:dyDescent="0.25">
      <c r="B116" s="21"/>
      <c r="C116" s="21"/>
      <c r="D116" s="21"/>
      <c r="E116" s="21"/>
    </row>
    <row r="117" spans="2:5" x14ac:dyDescent="0.25">
      <c r="B117" s="21"/>
      <c r="C117" s="21"/>
      <c r="D117" s="21"/>
      <c r="E117" s="21"/>
    </row>
    <row r="118" spans="2:5" x14ac:dyDescent="0.25">
      <c r="B118" s="21"/>
      <c r="C118" s="21"/>
      <c r="D118" s="21"/>
      <c r="E118" s="21"/>
    </row>
    <row r="119" spans="2:5" x14ac:dyDescent="0.25">
      <c r="B119" s="21"/>
      <c r="C119" s="21"/>
      <c r="D119" s="21"/>
      <c r="E119" s="21"/>
    </row>
    <row r="120" spans="2:5" x14ac:dyDescent="0.25">
      <c r="B120" s="21"/>
      <c r="C120" s="21"/>
      <c r="D120" s="21"/>
      <c r="E120" s="21"/>
    </row>
    <row r="121" spans="2:5" x14ac:dyDescent="0.25">
      <c r="B121" s="21"/>
      <c r="C121" s="21"/>
      <c r="D121" s="21"/>
      <c r="E121" s="21"/>
    </row>
    <row r="122" spans="2:5" x14ac:dyDescent="0.25">
      <c r="B122" s="21"/>
      <c r="C122" s="21"/>
      <c r="D122" s="21"/>
      <c r="E122" s="21"/>
    </row>
    <row r="123" spans="2:5" x14ac:dyDescent="0.25">
      <c r="B123" s="21"/>
      <c r="C123" s="21"/>
      <c r="D123" s="21"/>
      <c r="E123" s="21"/>
    </row>
    <row r="124" spans="2:5" x14ac:dyDescent="0.25">
      <c r="B124" s="21"/>
      <c r="C124" s="21"/>
      <c r="D124" s="21"/>
      <c r="E124" s="21"/>
    </row>
    <row r="125" spans="2:5" x14ac:dyDescent="0.25">
      <c r="B125" s="21"/>
      <c r="C125" s="21"/>
      <c r="D125" s="21"/>
      <c r="E125" s="21"/>
    </row>
    <row r="126" spans="2:5" x14ac:dyDescent="0.25">
      <c r="B126" s="21"/>
      <c r="C126" s="21"/>
      <c r="D126" s="21"/>
      <c r="E126" s="21"/>
    </row>
    <row r="127" spans="2:5" x14ac:dyDescent="0.25">
      <c r="B127" s="21"/>
      <c r="C127" s="21"/>
      <c r="D127" s="21"/>
      <c r="E127" s="21"/>
    </row>
    <row r="128" spans="2:5" x14ac:dyDescent="0.25">
      <c r="B128" s="21"/>
      <c r="C128" s="21"/>
      <c r="D128" s="21"/>
      <c r="E128" s="21"/>
    </row>
    <row r="129" spans="2:5" x14ac:dyDescent="0.25">
      <c r="B129" s="21"/>
      <c r="C129" s="21"/>
      <c r="D129" s="21"/>
      <c r="E129" s="21"/>
    </row>
    <row r="130" spans="2:5" x14ac:dyDescent="0.25">
      <c r="B130" s="21"/>
      <c r="C130" s="21"/>
      <c r="D130" s="21"/>
      <c r="E130" s="21"/>
    </row>
    <row r="131" spans="2:5" x14ac:dyDescent="0.25">
      <c r="B131" s="21"/>
      <c r="C131" s="21"/>
      <c r="D131" s="21"/>
      <c r="E131" s="21"/>
    </row>
    <row r="132" spans="2:5" x14ac:dyDescent="0.25">
      <c r="B132" s="21"/>
      <c r="C132" s="21"/>
      <c r="D132" s="21"/>
      <c r="E132" s="21"/>
    </row>
    <row r="133" spans="2:5" x14ac:dyDescent="0.25">
      <c r="B133" s="21"/>
      <c r="C133" s="21"/>
      <c r="D133" s="21"/>
      <c r="E133" s="21"/>
    </row>
    <row r="134" spans="2:5" x14ac:dyDescent="0.25">
      <c r="B134" s="21"/>
      <c r="C134" s="21"/>
      <c r="D134" s="21"/>
      <c r="E134" s="21"/>
    </row>
    <row r="135" spans="2:5" x14ac:dyDescent="0.25">
      <c r="B135" s="21"/>
      <c r="C135" s="21"/>
      <c r="D135" s="21"/>
      <c r="E135" s="21"/>
    </row>
    <row r="136" spans="2:5" x14ac:dyDescent="0.25">
      <c r="B136" s="21"/>
      <c r="C136" s="21"/>
      <c r="D136" s="21"/>
      <c r="E136" s="21"/>
    </row>
    <row r="137" spans="2:5" x14ac:dyDescent="0.25">
      <c r="B137" s="21"/>
      <c r="C137" s="21"/>
      <c r="D137" s="21"/>
      <c r="E137" s="21"/>
    </row>
    <row r="138" spans="2:5" x14ac:dyDescent="0.25">
      <c r="B138" s="21"/>
      <c r="C138" s="21"/>
      <c r="D138" s="21"/>
      <c r="E138" s="21"/>
    </row>
    <row r="139" spans="2:5" x14ac:dyDescent="0.25">
      <c r="B139" s="21"/>
      <c r="C139" s="21"/>
      <c r="D139" s="21"/>
      <c r="E139" s="21"/>
    </row>
    <row r="140" spans="2:5" x14ac:dyDescent="0.25">
      <c r="B140" s="21"/>
      <c r="C140" s="21"/>
      <c r="D140" s="21"/>
      <c r="E140" s="21"/>
    </row>
    <row r="141" spans="2:5" x14ac:dyDescent="0.25">
      <c r="B141" s="21"/>
      <c r="C141" s="21"/>
      <c r="D141" s="21"/>
      <c r="E141" s="21"/>
    </row>
    <row r="142" spans="2:5" x14ac:dyDescent="0.25">
      <c r="B142" s="21"/>
      <c r="C142" s="21"/>
      <c r="D142" s="21"/>
      <c r="E142" s="21"/>
    </row>
    <row r="143" spans="2:5" x14ac:dyDescent="0.25">
      <c r="B143" s="21"/>
      <c r="C143" s="21"/>
      <c r="D143" s="21"/>
      <c r="E143" s="21"/>
    </row>
    <row r="144" spans="2:5" x14ac:dyDescent="0.25">
      <c r="B144" s="21"/>
      <c r="C144" s="21"/>
      <c r="D144" s="21"/>
      <c r="E144" s="21"/>
    </row>
    <row r="145" spans="2:5" x14ac:dyDescent="0.25">
      <c r="B145" s="21"/>
      <c r="C145" s="21"/>
      <c r="D145" s="21"/>
      <c r="E145" s="21"/>
    </row>
    <row r="146" spans="2:5" x14ac:dyDescent="0.25">
      <c r="B146" s="21"/>
      <c r="C146" s="21"/>
      <c r="D146" s="21"/>
      <c r="E146" s="21"/>
    </row>
    <row r="147" spans="2:5" x14ac:dyDescent="0.25">
      <c r="B147" s="21"/>
      <c r="C147" s="21"/>
      <c r="D147" s="21"/>
      <c r="E147" s="21"/>
    </row>
    <row r="148" spans="2:5" x14ac:dyDescent="0.25">
      <c r="B148" s="21"/>
      <c r="C148" s="21"/>
      <c r="D148" s="21"/>
      <c r="E148" s="21"/>
    </row>
    <row r="149" spans="2:5" x14ac:dyDescent="0.25">
      <c r="B149" s="21"/>
      <c r="C149" s="21"/>
      <c r="D149" s="21"/>
      <c r="E149" s="21"/>
    </row>
    <row r="150" spans="2:5" x14ac:dyDescent="0.25">
      <c r="B150" s="21"/>
      <c r="C150" s="21"/>
      <c r="D150" s="21"/>
      <c r="E150" s="21"/>
    </row>
    <row r="151" spans="2:5" x14ac:dyDescent="0.25">
      <c r="B151" s="21"/>
      <c r="C151" s="21"/>
      <c r="D151" s="21"/>
      <c r="E151" s="21"/>
    </row>
    <row r="152" spans="2:5" x14ac:dyDescent="0.25">
      <c r="B152" s="21"/>
      <c r="C152" s="21"/>
      <c r="D152" s="21"/>
      <c r="E152" s="21"/>
    </row>
    <row r="153" spans="2:5" x14ac:dyDescent="0.25">
      <c r="B153" s="21"/>
      <c r="C153" s="21"/>
      <c r="D153" s="21"/>
      <c r="E153" s="21"/>
    </row>
    <row r="154" spans="2:5" x14ac:dyDescent="0.25">
      <c r="B154" s="21"/>
      <c r="C154" s="21"/>
      <c r="D154" s="21"/>
      <c r="E154" s="21"/>
    </row>
    <row r="155" spans="2:5" x14ac:dyDescent="0.25">
      <c r="B155" s="21"/>
      <c r="C155" s="21"/>
      <c r="D155" s="21"/>
      <c r="E155" s="21"/>
    </row>
    <row r="156" spans="2:5" x14ac:dyDescent="0.25">
      <c r="B156" s="21"/>
      <c r="C156" s="21"/>
      <c r="D156" s="21"/>
      <c r="E156" s="21"/>
    </row>
    <row r="157" spans="2:5" x14ac:dyDescent="0.25">
      <c r="B157" s="21"/>
      <c r="C157" s="21"/>
      <c r="D157" s="21"/>
      <c r="E157" s="21"/>
    </row>
    <row r="158" spans="2:5" x14ac:dyDescent="0.25">
      <c r="B158" s="21"/>
      <c r="C158" s="21"/>
      <c r="D158" s="21"/>
      <c r="E158" s="21"/>
    </row>
    <row r="159" spans="2:5" x14ac:dyDescent="0.25">
      <c r="B159" s="21"/>
      <c r="C159" s="21"/>
      <c r="D159" s="21"/>
      <c r="E159" s="21"/>
    </row>
    <row r="160" spans="2:5" x14ac:dyDescent="0.25">
      <c r="B160" s="21"/>
      <c r="C160" s="21"/>
      <c r="D160" s="21"/>
      <c r="E160" s="21"/>
    </row>
    <row r="161" spans="2:5" x14ac:dyDescent="0.25">
      <c r="B161" s="21"/>
      <c r="C161" s="21"/>
      <c r="D161" s="21"/>
      <c r="E161" s="21"/>
    </row>
    <row r="162" spans="2:5" x14ac:dyDescent="0.25">
      <c r="B162" s="21"/>
      <c r="C162" s="21"/>
      <c r="D162" s="21"/>
      <c r="E162" s="21"/>
    </row>
    <row r="163" spans="2:5" x14ac:dyDescent="0.25">
      <c r="B163" s="21"/>
      <c r="C163" s="21"/>
      <c r="D163" s="21"/>
      <c r="E163" s="21"/>
    </row>
    <row r="164" spans="2:5" x14ac:dyDescent="0.25">
      <c r="B164" s="21"/>
      <c r="C164" s="21"/>
      <c r="D164" s="21"/>
      <c r="E164" s="21"/>
    </row>
    <row r="165" spans="2:5" x14ac:dyDescent="0.25">
      <c r="B165" s="21"/>
      <c r="C165" s="21"/>
      <c r="D165" s="21"/>
      <c r="E165" s="21"/>
    </row>
    <row r="166" spans="2:5" x14ac:dyDescent="0.25">
      <c r="B166" s="21"/>
      <c r="C166" s="21"/>
      <c r="D166" s="21"/>
      <c r="E166" s="21"/>
    </row>
    <row r="167" spans="2:5" x14ac:dyDescent="0.25">
      <c r="B167" s="21"/>
      <c r="C167" s="21"/>
      <c r="D167" s="21"/>
      <c r="E167" s="21"/>
    </row>
    <row r="168" spans="2:5" x14ac:dyDescent="0.25">
      <c r="B168" s="21"/>
      <c r="C168" s="21"/>
      <c r="D168" s="21"/>
      <c r="E168" s="21"/>
    </row>
    <row r="169" spans="2:5" x14ac:dyDescent="0.25">
      <c r="B169" s="21"/>
      <c r="C169" s="21"/>
      <c r="D169" s="21"/>
      <c r="E169" s="21"/>
    </row>
    <row r="170" spans="2:5" x14ac:dyDescent="0.25">
      <c r="B170" s="21"/>
      <c r="C170" s="21"/>
      <c r="D170" s="21"/>
      <c r="E170" s="21"/>
    </row>
    <row r="171" spans="2:5" x14ac:dyDescent="0.25">
      <c r="B171" s="21"/>
      <c r="C171" s="21"/>
      <c r="D171" s="21"/>
      <c r="E171" s="21"/>
    </row>
    <row r="172" spans="2:5" x14ac:dyDescent="0.25">
      <c r="B172" s="21"/>
      <c r="C172" s="21"/>
      <c r="D172" s="21"/>
      <c r="E172" s="21"/>
    </row>
    <row r="173" spans="2:5" x14ac:dyDescent="0.25">
      <c r="B173" s="21"/>
      <c r="C173" s="21"/>
      <c r="D173" s="21"/>
      <c r="E173" s="21"/>
    </row>
    <row r="174" spans="2:5" x14ac:dyDescent="0.25">
      <c r="B174" s="21"/>
      <c r="C174" s="21"/>
      <c r="D174" s="21"/>
      <c r="E174" s="21"/>
    </row>
    <row r="175" spans="2:5" x14ac:dyDescent="0.25">
      <c r="B175" s="21"/>
      <c r="C175" s="21"/>
      <c r="D175" s="21"/>
      <c r="E175" s="21"/>
    </row>
    <row r="176" spans="2:5" x14ac:dyDescent="0.25">
      <c r="B176" s="21"/>
      <c r="C176" s="21"/>
      <c r="D176" s="21"/>
      <c r="E176" s="21"/>
    </row>
    <row r="177" spans="2:5" x14ac:dyDescent="0.25">
      <c r="B177" s="21"/>
      <c r="C177" s="21"/>
      <c r="D177" s="21"/>
      <c r="E177" s="21"/>
    </row>
    <row r="178" spans="2:5" x14ac:dyDescent="0.25">
      <c r="B178" s="21"/>
      <c r="C178" s="21"/>
      <c r="D178" s="21"/>
      <c r="E178" s="21"/>
    </row>
    <row r="179" spans="2:5" x14ac:dyDescent="0.25">
      <c r="B179" s="21"/>
      <c r="C179" s="21"/>
      <c r="D179" s="21"/>
      <c r="E179" s="21"/>
    </row>
    <row r="180" spans="2:5" x14ac:dyDescent="0.25">
      <c r="B180" s="21"/>
      <c r="C180" s="21"/>
      <c r="D180" s="21"/>
      <c r="E180" s="21"/>
    </row>
    <row r="181" spans="2:5" x14ac:dyDescent="0.25">
      <c r="B181" s="21"/>
      <c r="C181" s="21"/>
      <c r="D181" s="21"/>
      <c r="E181" s="21"/>
    </row>
    <row r="182" spans="2:5" x14ac:dyDescent="0.25">
      <c r="B182" s="21"/>
      <c r="C182" s="21"/>
      <c r="D182" s="21"/>
      <c r="E182" s="21"/>
    </row>
  </sheetData>
  <mergeCells count="7">
    <mergeCell ref="P29:P30"/>
    <mergeCell ref="P35:P36"/>
    <mergeCell ref="N26:N27"/>
    <mergeCell ref="N4:Q7"/>
    <mergeCell ref="O18:O19"/>
    <mergeCell ref="O26:O27"/>
    <mergeCell ref="P26:P27"/>
  </mergeCell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Carátula</vt:lpstr>
      <vt:lpstr>Excel</vt:lpstr>
      <vt:lpstr>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</dc:creator>
  <cp:lastModifiedBy>Loren Perrotta</cp:lastModifiedBy>
  <dcterms:created xsi:type="dcterms:W3CDTF">2019-10-05T14:30:23Z</dcterms:created>
  <dcterms:modified xsi:type="dcterms:W3CDTF">2019-10-11T04:40:42Z</dcterms:modified>
</cp:coreProperties>
</file>